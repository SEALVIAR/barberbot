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serl\Documents\barberbot\data\"/>
    </mc:Choice>
  </mc:AlternateContent>
  <xr:revisionPtr revIDLastSave="0" documentId="13_ncr:1_{96DAD544-FEED-42D3-921D-C0CCB1C5E5A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os_Prueba" sheetId="2" r:id="rId1"/>
    <sheet name="Registro_Ejecucion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B16" i="4"/>
  <c r="B15" i="4"/>
  <c r="B14" i="4"/>
  <c r="B6" i="4"/>
  <c r="B5" i="4"/>
  <c r="B4" i="4"/>
  <c r="B3" i="4"/>
  <c r="B2" i="4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O29" i="3" s="1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O20" i="3" s="1"/>
  <c r="N19" i="3"/>
  <c r="M19" i="3"/>
  <c r="L19" i="3"/>
  <c r="K19" i="3"/>
  <c r="N18" i="3"/>
  <c r="M18" i="3"/>
  <c r="L18" i="3"/>
  <c r="K18" i="3"/>
  <c r="N17" i="3"/>
  <c r="M17" i="3"/>
  <c r="L17" i="3"/>
  <c r="K17" i="3"/>
  <c r="O17" i="3" s="1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O8" i="3" s="1"/>
  <c r="N7" i="3"/>
  <c r="M7" i="3"/>
  <c r="L7" i="3"/>
  <c r="K7" i="3"/>
  <c r="N6" i="3"/>
  <c r="M6" i="3"/>
  <c r="L6" i="3"/>
  <c r="K6" i="3"/>
  <c r="N5" i="3"/>
  <c r="M5" i="3"/>
  <c r="L5" i="3"/>
  <c r="K5" i="3"/>
  <c r="O5" i="3" s="1"/>
  <c r="N4" i="3"/>
  <c r="M4" i="3"/>
  <c r="L4" i="3"/>
  <c r="K4" i="3"/>
  <c r="N3" i="3"/>
  <c r="M3" i="3"/>
  <c r="L3" i="3"/>
  <c r="K3" i="3"/>
  <c r="N2" i="3"/>
  <c r="M2" i="3"/>
  <c r="L2" i="3"/>
  <c r="K2" i="3"/>
  <c r="B7" i="4" l="1"/>
  <c r="B8" i="4"/>
  <c r="B9" i="4"/>
  <c r="B10" i="4"/>
  <c r="O32" i="3"/>
  <c r="O31" i="3"/>
  <c r="O28" i="3"/>
  <c r="O4" i="3"/>
  <c r="O10" i="3"/>
  <c r="O13" i="3"/>
  <c r="O16" i="3"/>
  <c r="O22" i="3"/>
  <c r="O25" i="3"/>
  <c r="O34" i="3"/>
  <c r="O35" i="3"/>
  <c r="O14" i="3"/>
  <c r="O6" i="3"/>
  <c r="O9" i="3"/>
  <c r="O12" i="3"/>
  <c r="O15" i="3"/>
  <c r="O18" i="3"/>
  <c r="O21" i="3"/>
  <c r="O24" i="3"/>
  <c r="O27" i="3"/>
  <c r="O30" i="3"/>
  <c r="O33" i="3"/>
  <c r="O26" i="3"/>
  <c r="O23" i="3"/>
  <c r="O7" i="3"/>
  <c r="O3" i="3"/>
  <c r="O19" i="3"/>
  <c r="O11" i="3"/>
  <c r="O2" i="3"/>
  <c r="B11" i="4" l="1"/>
</calcChain>
</file>

<file path=xl/sharedStrings.xml><?xml version="1.0" encoding="utf-8"?>
<sst xmlns="http://schemas.openxmlformats.org/spreadsheetml/2006/main" count="688" uniqueCount="259">
  <si>
    <t>ID</t>
  </si>
  <si>
    <t>Grupo</t>
  </si>
  <si>
    <t>Precondición</t>
  </si>
  <si>
    <t>Mensaje de prueba</t>
  </si>
  <si>
    <t>Intención esperada</t>
  </si>
  <si>
    <t>Servicio esperado</t>
  </si>
  <si>
    <t>Fecha esperada</t>
  </si>
  <si>
    <t>Hora esperada</t>
  </si>
  <si>
    <t>Estado esperado</t>
  </si>
  <si>
    <t>Evento esperado</t>
  </si>
  <si>
    <t>Ruta/nodos que cubre</t>
  </si>
  <si>
    <t>Observaciones</t>
  </si>
  <si>
    <t>TC-001</t>
  </si>
  <si>
    <t>Reserva disponible</t>
  </si>
  <si>
    <t>Sin cita previa en ese horario</t>
  </si>
  <si>
    <t>Quiero reservar un corte el 2026-06-10 a las 10:00</t>
  </si>
  <si>
    <t>reservar</t>
  </si>
  <si>
    <t>corte</t>
  </si>
  <si>
    <t>2026-06-10</t>
  </si>
  <si>
    <t>10:00</t>
  </si>
  <si>
    <t>creada</t>
  </si>
  <si>
    <t>Sí</t>
  </si>
  <si>
    <t>Ruta completa: disponibilidad libre → historial → riesgo difuso → crear cita → registrar final</t>
  </si>
  <si>
    <t>Cubre reserva exitosa, Calendar, Sheets y riesgo</t>
  </si>
  <si>
    <t>TC-002</t>
  </si>
  <si>
    <t>Reserva horario ocupado</t>
  </si>
  <si>
    <t>Ejecutar después de TC-001, mismo horario ocupado</t>
  </si>
  <si>
    <t>no_creada_horario_ocupado</t>
  </si>
  <si>
    <t>No</t>
  </si>
  <si>
    <t>Verificar disponibilidad → rama ocupado → registrar no disponibilidad</t>
  </si>
  <si>
    <t>Cubre Mensaje de no disponibilidad</t>
  </si>
  <si>
    <t>TC-003</t>
  </si>
  <si>
    <t>Reserva sin hora</t>
  </si>
  <si>
    <t>Ninguna</t>
  </si>
  <si>
    <t>Quiero reservar un corte el 2026-06-11</t>
  </si>
  <si>
    <t>2026-06-11</t>
  </si>
  <si>
    <t>datos_incompletos</t>
  </si>
  <si>
    <t>¿Tiene fecha y hora? false → pedir hora → registrar datos incompletos</t>
  </si>
  <si>
    <t>Cubre Solicitar fecha y hora</t>
  </si>
  <si>
    <t>TC-004</t>
  </si>
  <si>
    <t>Reserva sin fecha</t>
  </si>
  <si>
    <t>Quiero reservar barba a las 15:00</t>
  </si>
  <si>
    <t>barba</t>
  </si>
  <si>
    <t>15:00</t>
  </si>
  <si>
    <t>¿Tiene fecha y hora? false → pedir fecha → registrar datos incompletos</t>
  </si>
  <si>
    <t>Cubre campo fecha null</t>
  </si>
  <si>
    <t>TC-005</t>
  </si>
  <si>
    <t>Reserva sin servicio explícito</t>
  </si>
  <si>
    <t>Horario libre</t>
  </si>
  <si>
    <t>Quiero reservar el 2026-06-11 a las 16:00</t>
  </si>
  <si>
    <t>16:00</t>
  </si>
  <si>
    <t>Reserva con servicio null/por defecto → duración 30</t>
  </si>
  <si>
    <t>Mide robustez del LLM cuando falta servicio</t>
  </si>
  <si>
    <t>TC-006</t>
  </si>
  <si>
    <t>corte_barba</t>
  </si>
  <si>
    <t>11:00</t>
  </si>
  <si>
    <t>TC-007</t>
  </si>
  <si>
    <t>Reserva corte + barba + cejas</t>
  </si>
  <si>
    <t>Necesito corte barba y cejas el 2026-06-10 a las 12:00</t>
  </si>
  <si>
    <t>corte_barba_cejas</t>
  </si>
  <si>
    <t>12:00</t>
  </si>
  <si>
    <t>Servicio triple → duración 50 → Calendar description</t>
  </si>
  <si>
    <t>Cubre servicio compuesto</t>
  </si>
  <si>
    <t>TC-008</t>
  </si>
  <si>
    <t>Reserva mechas</t>
  </si>
  <si>
    <t>Quiero hacerme mechas el 2026-06-10 a las 14:00</t>
  </si>
  <si>
    <t>mechas</t>
  </si>
  <si>
    <t>14:00</t>
  </si>
  <si>
    <t>Servicio largo → riesgo difuso</t>
  </si>
  <si>
    <t>Cubre duración 60</t>
  </si>
  <si>
    <t>TC-009</t>
  </si>
  <si>
    <t>Reserva color cabello</t>
  </si>
  <si>
    <t>Quiero color de cabello el 2026-06-10 a las 15:30</t>
  </si>
  <si>
    <t>color_cabello</t>
  </si>
  <si>
    <t>15:30</t>
  </si>
  <si>
    <t>Cubre duración 90</t>
  </si>
  <si>
    <t>TC-010</t>
  </si>
  <si>
    <t>Riesgo por poca anticipación</t>
  </si>
  <si>
    <t>Probar con una hora libre cercana al momento actual</t>
  </si>
  <si>
    <t>Quiero corte con barba hoy a las 18:30</t>
  </si>
  <si>
    <t>18:30</t>
  </si>
  <si>
    <t>Riesgo debería subir por anticipación baja/hora tarde</t>
  </si>
  <si>
    <t>Ajustar hora si ya pasó</t>
  </si>
  <si>
    <t>TC-011</t>
  </si>
  <si>
    <t>Consulta precios general</t>
  </si>
  <si>
    <t>¿Cuánto cuesta el corte y la barba?</t>
  </si>
  <si>
    <t>precios</t>
  </si>
  <si>
    <t>consulta_precios</t>
  </si>
  <si>
    <t>No aplica</t>
  </si>
  <si>
    <t>Categorizar precios → preparar log precios → responder precios</t>
  </si>
  <si>
    <t>Cubre rama precios</t>
  </si>
  <si>
    <t>TC-012</t>
  </si>
  <si>
    <t>Consulta precio servicio largo</t>
  </si>
  <si>
    <t>¿Cuánto valen las mechas?</t>
  </si>
  <si>
    <t>Precios con servicio específico</t>
  </si>
  <si>
    <t>Mide clasificación de precios</t>
  </si>
  <si>
    <t>TC-013</t>
  </si>
  <si>
    <t>Consulta precios coloquial</t>
  </si>
  <si>
    <t>Parce, ¿a cómo está el corte?</t>
  </si>
  <si>
    <t>LLM debe clasificar lenguaje informal</t>
  </si>
  <si>
    <t>Mide robustez lingüística</t>
  </si>
  <si>
    <t>TC-014</t>
  </si>
  <si>
    <t>Consulta horarios</t>
  </si>
  <si>
    <t>¿Qué horarios manejan?</t>
  </si>
  <si>
    <t>horarios</t>
  </si>
  <si>
    <t>consulta_horarios</t>
  </si>
  <si>
    <t>Preparar log horarios → registrar → Telegram horarios</t>
  </si>
  <si>
    <t>Cubre rama horarios</t>
  </si>
  <si>
    <t>TC-015</t>
  </si>
  <si>
    <t>Consulta horarios informal</t>
  </si>
  <si>
    <t>¿Hasta qué hora atienden hoy?</t>
  </si>
  <si>
    <t>Horarios con pregunta indirecta</t>
  </si>
  <si>
    <t>Mide comprensión</t>
  </si>
  <si>
    <t>TC-016</t>
  </si>
  <si>
    <t>Desconocido claro</t>
  </si>
  <si>
    <t>Hola, tengo una duda rara sobre motos</t>
  </si>
  <si>
    <t>desconocido</t>
  </si>
  <si>
    <t>Preparar log desconocido → registrar → No entender</t>
  </si>
  <si>
    <t>Cubre rama desconocido</t>
  </si>
  <si>
    <t>TC-017</t>
  </si>
  <si>
    <t>Mensaje vacío/ruido</t>
  </si>
  <si>
    <t>asdfgh qwerty 123</t>
  </si>
  <si>
    <t>LLM debe evitar inventar datos</t>
  </si>
  <si>
    <t>Mide falsos positivos</t>
  </si>
  <si>
    <t>TC-018</t>
  </si>
  <si>
    <t>Reserva ambigua sin hora exacta</t>
  </si>
  <si>
    <t>Quiero corte mañana por la tarde</t>
  </si>
  <si>
    <t>Debe conservar reservar pero hora null</t>
  </si>
  <si>
    <t>Mide no inventar hora</t>
  </si>
  <si>
    <t>TC-019</t>
  </si>
  <si>
    <t>Cancelar cita existente</t>
  </si>
  <si>
    <t>Tener una cita activa creada por TC-006 o crear una nueva antes</t>
  </si>
  <si>
    <t>Quiero cancelar mi cita</t>
  </si>
  <si>
    <t>cancelar</t>
  </si>
  <si>
    <t>cancelada</t>
  </si>
  <si>
    <t>Sí, se elimina/cancela</t>
  </si>
  <si>
    <t>Buscar cita → elegir cita para cancelar → cancelar evento → registrar cancelación</t>
  </si>
  <si>
    <t>Cubre rama cancelar éxito</t>
  </si>
  <si>
    <t>TC-020</t>
  </si>
  <si>
    <t>Cancelar sin cita</t>
  </si>
  <si>
    <t>Ejecutar después de TC-019 o usar un chat sin citas activas</t>
  </si>
  <si>
    <t>no_existe_cita</t>
  </si>
  <si>
    <t>Buscar cita → no encontrada → registrar cancelación sin cita</t>
  </si>
  <si>
    <t>Cubre Mensaje no encontrar cita</t>
  </si>
  <si>
    <t>TC-021</t>
  </si>
  <si>
    <t>Cambio con nuevo horario libre</t>
  </si>
  <si>
    <t>Tener una cita activa en el chat</t>
  </si>
  <si>
    <t>Quiero cambiar mi cita para el 2026-06-11 a las 10:00</t>
  </si>
  <si>
    <t>cambiar_hora</t>
  </si>
  <si>
    <t>cambiada</t>
  </si>
  <si>
    <t>Sí, mismo evento actualizado</t>
  </si>
  <si>
    <t>¿Tiene nuevo horario? true → buscar cita → calcular nuevo horario → disponibilidad nueva → actualizar</t>
  </si>
  <si>
    <t>Cubre cambio exitoso</t>
  </si>
  <si>
    <t>TC-022</t>
  </si>
  <si>
    <t>Cambio sin nuevo horario</t>
  </si>
  <si>
    <t>Tener una cita activa o no; no importa</t>
  </si>
  <si>
    <t>Quiero cambiar mi cita</t>
  </si>
  <si>
    <t>datos_incompletos_cambio</t>
  </si>
  <si>
    <t>¿Tiene nuevo horario? false → responder para obtener detalles</t>
  </si>
  <si>
    <t>Cubre cambio sin horario</t>
  </si>
  <si>
    <t>TC-023</t>
  </si>
  <si>
    <t>Cambio con horario ocupado</t>
  </si>
  <si>
    <t>Crear una cita ocupando el destino 2026-06-11 11:00</t>
  </si>
  <si>
    <t>Quiero cambiar mi cita para el 2026-06-11 a las 11:00</t>
  </si>
  <si>
    <t>no_cambiada_horario_ocupado</t>
  </si>
  <si>
    <t>Consultar disponibilidad nueva hora → false → log horario no libre</t>
  </si>
  <si>
    <t>Cubre rama cambio ocupado</t>
  </si>
  <si>
    <t>TC-024</t>
  </si>
  <si>
    <t>Cambio sin cita activa</t>
  </si>
  <si>
    <t>Usar chat sin cita activa o cancelar antes</t>
  </si>
  <si>
    <t>Quiero cambiar mi cita para el 2026-06-11 a las 12:00</t>
  </si>
  <si>
    <t>Buscar cita para cambiar → no encontrada → cambio cita no encontrada</t>
  </si>
  <si>
    <t>Cubre Mensaje cambio cita no encontrada</t>
  </si>
  <si>
    <t>TC-025</t>
  </si>
  <si>
    <t>Fecha relativa mañana</t>
  </si>
  <si>
    <t>Quiero un corte mañana a las 9 am</t>
  </si>
  <si>
    <t>09:00</t>
  </si>
  <si>
    <t>LLM calcula fecha relativa con fecha actual Colombia</t>
  </si>
  <si>
    <t>Verificar fecha detectada manualmente</t>
  </si>
  <si>
    <t>TC-026</t>
  </si>
  <si>
    <t>Fecha relativa pasado mañana</t>
  </si>
  <si>
    <t>Quiero barba pasado mañana a las 5 pm</t>
  </si>
  <si>
    <t>17:00</t>
  </si>
  <si>
    <t>LLM calcula pasado mañana</t>
  </si>
  <si>
    <t>TC-027</t>
  </si>
  <si>
    <t>Servicio con typo</t>
  </si>
  <si>
    <t>Quiero un corteee el 2026-06-12 a las 10</t>
  </si>
  <si>
    <t>2026-06-12</t>
  </si>
  <si>
    <t>Mide tolerancia a errores ortográficos</t>
  </si>
  <si>
    <t>Puede fallar; útil para efectividad</t>
  </si>
  <si>
    <t>TC-028</t>
  </si>
  <si>
    <t>Cambio de intención en frase larga</t>
  </si>
  <si>
    <t>Tener cita activa</t>
  </si>
  <si>
    <t>No puedo a la hora que tenía, mejor cámbiala para el 2026-06-12 a las 13:00</t>
  </si>
  <si>
    <t>13:00</t>
  </si>
  <si>
    <t>Mide intención cambiar_hora sin palabra exacta cambiar cita</t>
  </si>
  <si>
    <t>Cubre LLM en lenguaje natural</t>
  </si>
  <si>
    <t>TC-029</t>
  </si>
  <si>
    <t>Cancelación informal</t>
  </si>
  <si>
    <t>Parce cancélame la cita porfa</t>
  </si>
  <si>
    <t>Mide cancelación coloquial</t>
  </si>
  <si>
    <t>Cubre buscar cita por chat</t>
  </si>
  <si>
    <t>TC-030</t>
  </si>
  <si>
    <t>Consulta no relacionada pero de barbería</t>
  </si>
  <si>
    <t>¿Ustedes venden shampoo?</t>
  </si>
  <si>
    <t>Debe pedir reformulación o informar que solo agenda/precios/horarios</t>
  </si>
  <si>
    <t>Mide alcance del agente</t>
  </si>
  <si>
    <t>TC-031</t>
  </si>
  <si>
    <t>Secuencia historial cliente</t>
  </si>
  <si>
    <t>Ejecutar varias reservas/cancelaciones con mismo chat antes</t>
  </si>
  <si>
    <t>Quiero corte el 2026-06-12 a las 14:00</t>
  </si>
  <si>
    <t>Obtener historial del chat → Calcular historial cliente → riesgo</t>
  </si>
  <si>
    <t>Verificar historial_eventos_evaluables &gt; 0</t>
  </si>
  <si>
    <t>TC-032</t>
  </si>
  <si>
    <t>Hora en formato 24h</t>
  </si>
  <si>
    <t>Reserva corte_cejas el 2026-06-12 a las 18:00</t>
  </si>
  <si>
    <t>corte_cejas</t>
  </si>
  <si>
    <t>18:00</t>
  </si>
  <si>
    <t>Mide parsing de 24 horas</t>
  </si>
  <si>
    <t>Cubre corte_cejas</t>
  </si>
  <si>
    <t>TC-033</t>
  </si>
  <si>
    <t>Servicio cejas corto</t>
  </si>
  <si>
    <t>Quiero cejas el 2026-06-12 a las 15:00</t>
  </si>
  <si>
    <t>cejas</t>
  </si>
  <si>
    <t>Duración 5 minutos</t>
  </si>
  <si>
    <t>Cubre servicio corto</t>
  </si>
  <si>
    <t>TC-034</t>
  </si>
  <si>
    <t>Servicio barba corto</t>
  </si>
  <si>
    <t>Quiero barba el 2026-06-12 a las 16:00</t>
  </si>
  <si>
    <t>Duración 15 minutos</t>
  </si>
  <si>
    <t>Cubre barba</t>
  </si>
  <si>
    <t>Mensaje con nombre del cliente</t>
  </si>
  <si>
    <t>Soy Sergio, quiero corte con barba el 2026-06-12 a las 17:00</t>
  </si>
  <si>
    <t>Verificar nombre_cliente viene de Telegram/CLI y no rompe extracción</t>
  </si>
  <si>
    <t>Útil para video</t>
  </si>
  <si>
    <t>Mensaje probado</t>
  </si>
  <si>
    <t>Intención obtenida</t>
  </si>
  <si>
    <t>Servicio obtenido</t>
  </si>
  <si>
    <t>Estado obtenido</t>
  </si>
  <si>
    <t>Tiempo respuesta ms</t>
  </si>
  <si>
    <t>Clasificación OK</t>
  </si>
  <si>
    <t>Servicio OK</t>
  </si>
  <si>
    <t>Estado OK</t>
  </si>
  <si>
    <t>Evento OK</t>
  </si>
  <si>
    <t>Prueba OK</t>
  </si>
  <si>
    <t>Dashboard de métricas BarberBot</t>
  </si>
  <si>
    <t>Total casos planeados</t>
  </si>
  <si>
    <t>Total ejecuciones con tiempo</t>
  </si>
  <si>
    <t>Tiempo promedio ms</t>
  </si>
  <si>
    <t>Tiempo mínimo ms</t>
  </si>
  <si>
    <t>Tiempo máximo ms</t>
  </si>
  <si>
    <t>Efectividad clasificación</t>
  </si>
  <si>
    <t>Efectividad servicio</t>
  </si>
  <si>
    <t>Efectividad estado_operacion</t>
  </si>
  <si>
    <t>Efectividad evento</t>
  </si>
  <si>
    <t>Efectividad global</t>
  </si>
  <si>
    <t>Resumen por estado obtenido</t>
  </si>
  <si>
    <t>Quiero cambiar mi cita para el 2026-06-11 a las 10:30</t>
  </si>
  <si>
    <t>El servicio esperado debia ser vacío, sin embargo le asocio corte con barba pero no afecta el funcionamiento.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</si>
</sst>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PruebaTable" displayName="CasosPruebaTable" ref="A1:L35">
  <tableColumns count="12">
    <tableColumn id="1" xr3:uid="{00000000-0010-0000-0000-000001000000}" name="ID"/>
    <tableColumn id="3" xr3:uid="{00000000-0010-0000-0000-000003000000}" name="Grupo"/>
    <tableColumn id="4" xr3:uid="{00000000-0010-0000-0000-000004000000}" name="Precondición"/>
    <tableColumn id="5" xr3:uid="{00000000-0010-0000-0000-000005000000}" name="Mensaje de prueba"/>
    <tableColumn id="6" xr3:uid="{00000000-0010-0000-0000-000006000000}" name="Intención esperada"/>
    <tableColumn id="7" xr3:uid="{00000000-0010-0000-0000-000007000000}" name="Servicio esperado"/>
    <tableColumn id="8" xr3:uid="{00000000-0010-0000-0000-000008000000}" name="Fecha esperada"/>
    <tableColumn id="9" xr3:uid="{00000000-0010-0000-0000-000009000000}" name="Hora esperada"/>
    <tableColumn id="10" xr3:uid="{00000000-0010-0000-0000-00000A000000}" name="Estado esperado"/>
    <tableColumn id="11" xr3:uid="{00000000-0010-0000-0000-00000B000000}" name="Evento esperado"/>
    <tableColumn id="12" xr3:uid="{00000000-0010-0000-0000-00000C000000}" name="Ruta/nodos que cubre"/>
    <tableColumn id="13" xr3:uid="{00000000-0010-0000-0000-00000D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stroEjecucionTable" displayName="RegistroEjecucionTable" ref="A1:P36">
  <tableColumns count="16">
    <tableColumn id="1" xr3:uid="{00000000-0010-0000-0100-000001000000}" name="ID"/>
    <tableColumn id="4" xr3:uid="{00000000-0010-0000-0100-000004000000}" name="Mensaje probado"/>
    <tableColumn id="5" xr3:uid="{00000000-0010-0000-0100-000005000000}" name="Intención esperada"/>
    <tableColumn id="6" xr3:uid="{00000000-0010-0000-0100-000006000000}" name="Intención obtenida"/>
    <tableColumn id="7" xr3:uid="{00000000-0010-0000-0100-000007000000}" name="Servicio esperado"/>
    <tableColumn id="8" xr3:uid="{00000000-0010-0000-0100-000008000000}" name="Servicio obtenido"/>
    <tableColumn id="9" xr3:uid="{00000000-0010-0000-0100-000009000000}" name="Estado esperado"/>
    <tableColumn id="10" xr3:uid="{00000000-0010-0000-0100-00000A000000}" name="Estado obtenido"/>
    <tableColumn id="11" xr3:uid="{00000000-0010-0000-0100-00000B000000}" name="Evento esperado"/>
    <tableColumn id="13" xr3:uid="{00000000-0010-0000-0100-00000D000000}" name="Tiempo respuesta ms"/>
    <tableColumn id="14" xr3:uid="{00000000-0010-0000-0100-00000E000000}" name="Clasificación OK"/>
    <tableColumn id="15" xr3:uid="{00000000-0010-0000-0100-00000F000000}" name="Servicio OK"/>
    <tableColumn id="16" xr3:uid="{00000000-0010-0000-0100-000010000000}" name="Estado OK"/>
    <tableColumn id="17" xr3:uid="{00000000-0010-0000-0100-000011000000}" name="Evento OK"/>
    <tableColumn id="18" xr3:uid="{00000000-0010-0000-0100-000012000000}" name="Prueba OK"/>
    <tableColumn id="19" xr3:uid="{00000000-0010-0000-0100-000013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topLeftCell="B1" workbookViewId="0">
      <selection activeCell="C32" sqref="C32"/>
    </sheetView>
  </sheetViews>
  <sheetFormatPr defaultRowHeight="14.25"/>
  <cols>
    <col min="1" max="1" width="10" customWidth="1"/>
    <col min="2" max="2" width="22" customWidth="1"/>
    <col min="3" max="3" width="35" customWidth="1"/>
    <col min="4" max="4" width="45" customWidth="1"/>
    <col min="5" max="6" width="18" customWidth="1"/>
    <col min="7" max="7" width="14" customWidth="1"/>
    <col min="8" max="8" width="12" customWidth="1"/>
    <col min="9" max="9" width="24" customWidth="1"/>
    <col min="10" max="10" width="22" customWidth="1"/>
    <col min="11" max="11" width="55" customWidth="1"/>
    <col min="12" max="12" width="45" customWidth="1"/>
  </cols>
  <sheetData>
    <row r="1" spans="1:2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5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</row>
    <row r="4" spans="1:25">
      <c r="A4" t="s">
        <v>31</v>
      </c>
      <c r="B4" t="s">
        <v>32</v>
      </c>
      <c r="C4" t="s">
        <v>33</v>
      </c>
      <c r="D4" t="s">
        <v>34</v>
      </c>
      <c r="E4" t="s">
        <v>16</v>
      </c>
      <c r="F4" t="s">
        <v>17</v>
      </c>
      <c r="G4" t="s">
        <v>35</v>
      </c>
      <c r="I4" t="s">
        <v>36</v>
      </c>
      <c r="J4" t="s">
        <v>28</v>
      </c>
      <c r="K4" t="s">
        <v>37</v>
      </c>
      <c r="L4" t="s">
        <v>38</v>
      </c>
    </row>
    <row r="5" spans="1:25">
      <c r="A5" t="s">
        <v>39</v>
      </c>
      <c r="B5" t="s">
        <v>40</v>
      </c>
      <c r="C5" t="s">
        <v>33</v>
      </c>
      <c r="D5" t="s">
        <v>41</v>
      </c>
      <c r="E5" t="s">
        <v>16</v>
      </c>
      <c r="F5" t="s">
        <v>42</v>
      </c>
      <c r="H5" t="s">
        <v>43</v>
      </c>
      <c r="I5" t="s">
        <v>36</v>
      </c>
      <c r="J5" t="s">
        <v>28</v>
      </c>
      <c r="K5" t="s">
        <v>44</v>
      </c>
      <c r="L5" t="s">
        <v>45</v>
      </c>
    </row>
    <row r="6" spans="1:25">
      <c r="A6" t="s">
        <v>46</v>
      </c>
      <c r="B6" t="s">
        <v>47</v>
      </c>
      <c r="C6" t="s">
        <v>48</v>
      </c>
      <c r="D6" t="s">
        <v>49</v>
      </c>
      <c r="E6" t="s">
        <v>16</v>
      </c>
      <c r="G6" t="s">
        <v>35</v>
      </c>
      <c r="H6" t="s">
        <v>50</v>
      </c>
      <c r="I6" t="s">
        <v>20</v>
      </c>
      <c r="J6" t="s">
        <v>21</v>
      </c>
      <c r="K6" t="s">
        <v>51</v>
      </c>
      <c r="L6" t="s">
        <v>52</v>
      </c>
    </row>
    <row r="7" spans="1:25">
      <c r="A7" t="s">
        <v>53</v>
      </c>
      <c r="B7" t="s">
        <v>57</v>
      </c>
      <c r="C7" t="s">
        <v>48</v>
      </c>
      <c r="D7" t="s">
        <v>58</v>
      </c>
      <c r="E7" t="s">
        <v>16</v>
      </c>
      <c r="F7" t="s">
        <v>59</v>
      </c>
      <c r="G7" t="s">
        <v>18</v>
      </c>
      <c r="H7" t="s">
        <v>60</v>
      </c>
      <c r="I7" t="s">
        <v>20</v>
      </c>
      <c r="J7" t="s">
        <v>21</v>
      </c>
      <c r="K7" t="s">
        <v>61</v>
      </c>
      <c r="L7" t="s">
        <v>62</v>
      </c>
    </row>
    <row r="8" spans="1:25">
      <c r="A8" t="s">
        <v>56</v>
      </c>
      <c r="B8" t="s">
        <v>64</v>
      </c>
      <c r="C8" t="s">
        <v>48</v>
      </c>
      <c r="D8" t="s">
        <v>65</v>
      </c>
      <c r="E8" t="s">
        <v>16</v>
      </c>
      <c r="F8" t="s">
        <v>66</v>
      </c>
      <c r="G8" t="s">
        <v>18</v>
      </c>
      <c r="H8" t="s">
        <v>67</v>
      </c>
      <c r="I8" t="s">
        <v>20</v>
      </c>
      <c r="J8" t="s">
        <v>21</v>
      </c>
      <c r="K8" t="s">
        <v>68</v>
      </c>
      <c r="L8" t="s">
        <v>69</v>
      </c>
    </row>
    <row r="9" spans="1:25">
      <c r="A9" t="s">
        <v>63</v>
      </c>
      <c r="B9" t="s">
        <v>71</v>
      </c>
      <c r="C9" t="s">
        <v>48</v>
      </c>
      <c r="D9" t="s">
        <v>72</v>
      </c>
      <c r="E9" t="s">
        <v>16</v>
      </c>
      <c r="F9" t="s">
        <v>73</v>
      </c>
      <c r="G9" t="s">
        <v>18</v>
      </c>
      <c r="H9" t="s">
        <v>74</v>
      </c>
      <c r="I9" t="s">
        <v>20</v>
      </c>
      <c r="J9" t="s">
        <v>21</v>
      </c>
      <c r="K9" t="s">
        <v>68</v>
      </c>
      <c r="L9" t="s">
        <v>75</v>
      </c>
    </row>
    <row r="10" spans="1:25">
      <c r="A10" t="s">
        <v>70</v>
      </c>
      <c r="B10" t="s">
        <v>77</v>
      </c>
      <c r="C10" t="s">
        <v>78</v>
      </c>
      <c r="D10" t="s">
        <v>79</v>
      </c>
      <c r="E10" t="s">
        <v>16</v>
      </c>
      <c r="F10" t="s">
        <v>54</v>
      </c>
      <c r="H10" t="s">
        <v>80</v>
      </c>
      <c r="I10" t="s">
        <v>20</v>
      </c>
      <c r="J10" t="s">
        <v>21</v>
      </c>
      <c r="K10" t="s">
        <v>81</v>
      </c>
      <c r="L10" t="s">
        <v>82</v>
      </c>
    </row>
    <row r="11" spans="1:25">
      <c r="A11" t="s">
        <v>76</v>
      </c>
      <c r="B11" t="s">
        <v>84</v>
      </c>
      <c r="C11" t="s">
        <v>33</v>
      </c>
      <c r="D11" t="s">
        <v>85</v>
      </c>
      <c r="E11" t="s">
        <v>86</v>
      </c>
      <c r="I11" t="s">
        <v>87</v>
      </c>
      <c r="J11" t="s">
        <v>88</v>
      </c>
      <c r="K11" t="s">
        <v>89</v>
      </c>
      <c r="L11" t="s">
        <v>90</v>
      </c>
    </row>
    <row r="12" spans="1:25">
      <c r="A12" t="s">
        <v>83</v>
      </c>
      <c r="B12" t="s">
        <v>92</v>
      </c>
      <c r="C12" t="s">
        <v>33</v>
      </c>
      <c r="D12" t="s">
        <v>93</v>
      </c>
      <c r="E12" t="s">
        <v>86</v>
      </c>
      <c r="F12" t="s">
        <v>66</v>
      </c>
      <c r="I12" t="s">
        <v>87</v>
      </c>
      <c r="J12" t="s">
        <v>88</v>
      </c>
      <c r="K12" t="s">
        <v>94</v>
      </c>
      <c r="L12" t="s">
        <v>95</v>
      </c>
    </row>
    <row r="13" spans="1:25">
      <c r="A13" t="s">
        <v>91</v>
      </c>
      <c r="B13" t="s">
        <v>97</v>
      </c>
      <c r="C13" t="s">
        <v>33</v>
      </c>
      <c r="D13" t="s">
        <v>98</v>
      </c>
      <c r="E13" t="s">
        <v>86</v>
      </c>
      <c r="F13" t="s">
        <v>17</v>
      </c>
      <c r="I13" t="s">
        <v>87</v>
      </c>
      <c r="J13" t="s">
        <v>88</v>
      </c>
      <c r="K13" t="s">
        <v>99</v>
      </c>
      <c r="L13" t="s">
        <v>100</v>
      </c>
    </row>
    <row r="14" spans="1:25">
      <c r="A14" t="s">
        <v>96</v>
      </c>
      <c r="B14" t="s">
        <v>102</v>
      </c>
      <c r="C14" t="s">
        <v>33</v>
      </c>
      <c r="D14" t="s">
        <v>103</v>
      </c>
      <c r="E14" t="s">
        <v>104</v>
      </c>
      <c r="I14" t="s">
        <v>105</v>
      </c>
      <c r="J14" t="s">
        <v>88</v>
      </c>
      <c r="K14" t="s">
        <v>106</v>
      </c>
      <c r="L14" t="s">
        <v>107</v>
      </c>
    </row>
    <row r="15" spans="1:25">
      <c r="A15" t="s">
        <v>101</v>
      </c>
      <c r="B15" t="s">
        <v>109</v>
      </c>
      <c r="C15" t="s">
        <v>33</v>
      </c>
      <c r="D15" t="s">
        <v>110</v>
      </c>
      <c r="E15" t="s">
        <v>104</v>
      </c>
      <c r="I15" t="s">
        <v>105</v>
      </c>
      <c r="J15" t="s">
        <v>88</v>
      </c>
      <c r="K15" t="s">
        <v>111</v>
      </c>
      <c r="L15" t="s">
        <v>112</v>
      </c>
    </row>
    <row r="16" spans="1:25">
      <c r="A16" t="s">
        <v>108</v>
      </c>
      <c r="B16" t="s">
        <v>114</v>
      </c>
      <c r="C16" t="s">
        <v>33</v>
      </c>
      <c r="D16" t="s">
        <v>115</v>
      </c>
      <c r="E16" t="s">
        <v>116</v>
      </c>
      <c r="I16" t="s">
        <v>116</v>
      </c>
      <c r="J16" t="s">
        <v>88</v>
      </c>
      <c r="K16" t="s">
        <v>117</v>
      </c>
      <c r="L16" t="s">
        <v>118</v>
      </c>
    </row>
    <row r="17" spans="1:12">
      <c r="A17" t="s">
        <v>113</v>
      </c>
      <c r="B17" t="s">
        <v>120</v>
      </c>
      <c r="C17" t="s">
        <v>33</v>
      </c>
      <c r="D17" t="s">
        <v>121</v>
      </c>
      <c r="E17" t="s">
        <v>116</v>
      </c>
      <c r="I17" t="s">
        <v>116</v>
      </c>
      <c r="J17" t="s">
        <v>88</v>
      </c>
      <c r="K17" t="s">
        <v>122</v>
      </c>
      <c r="L17" t="s">
        <v>123</v>
      </c>
    </row>
    <row r="18" spans="1:12">
      <c r="A18" t="s">
        <v>119</v>
      </c>
      <c r="B18" t="s">
        <v>125</v>
      </c>
      <c r="C18" t="s">
        <v>33</v>
      </c>
      <c r="D18" t="s">
        <v>126</v>
      </c>
      <c r="E18" t="s">
        <v>16</v>
      </c>
      <c r="F18" t="s">
        <v>17</v>
      </c>
      <c r="I18" t="s">
        <v>36</v>
      </c>
      <c r="J18" t="s">
        <v>28</v>
      </c>
      <c r="K18" t="s">
        <v>127</v>
      </c>
      <c r="L18" t="s">
        <v>128</v>
      </c>
    </row>
    <row r="19" spans="1:12">
      <c r="A19" t="s">
        <v>124</v>
      </c>
      <c r="B19" t="s">
        <v>130</v>
      </c>
      <c r="C19" t="s">
        <v>131</v>
      </c>
      <c r="D19" t="s">
        <v>132</v>
      </c>
      <c r="E19" t="s">
        <v>133</v>
      </c>
      <c r="I19" t="s">
        <v>134</v>
      </c>
      <c r="J19" t="s">
        <v>135</v>
      </c>
      <c r="K19" t="s">
        <v>136</v>
      </c>
      <c r="L19" t="s">
        <v>137</v>
      </c>
    </row>
    <row r="20" spans="1:12">
      <c r="A20" t="s">
        <v>129</v>
      </c>
      <c r="B20" t="s">
        <v>139</v>
      </c>
      <c r="C20" t="s">
        <v>140</v>
      </c>
      <c r="D20" t="s">
        <v>132</v>
      </c>
      <c r="E20" t="s">
        <v>133</v>
      </c>
      <c r="I20" t="s">
        <v>141</v>
      </c>
      <c r="J20" t="s">
        <v>28</v>
      </c>
      <c r="K20" t="s">
        <v>142</v>
      </c>
      <c r="L20" t="s">
        <v>143</v>
      </c>
    </row>
    <row r="21" spans="1:12">
      <c r="A21" t="s">
        <v>138</v>
      </c>
      <c r="B21" t="s">
        <v>145</v>
      </c>
      <c r="C21" t="s">
        <v>146</v>
      </c>
      <c r="D21" t="s">
        <v>147</v>
      </c>
      <c r="E21" t="s">
        <v>148</v>
      </c>
      <c r="G21" t="s">
        <v>35</v>
      </c>
      <c r="H21" t="s">
        <v>19</v>
      </c>
      <c r="I21" t="s">
        <v>149</v>
      </c>
      <c r="J21" t="s">
        <v>150</v>
      </c>
      <c r="K21" t="s">
        <v>151</v>
      </c>
      <c r="L21" t="s">
        <v>152</v>
      </c>
    </row>
    <row r="22" spans="1:12">
      <c r="A22" t="s">
        <v>144</v>
      </c>
      <c r="B22" t="s">
        <v>154</v>
      </c>
      <c r="C22" t="s">
        <v>155</v>
      </c>
      <c r="D22" t="s">
        <v>156</v>
      </c>
      <c r="E22" t="s">
        <v>148</v>
      </c>
      <c r="I22" t="s">
        <v>157</v>
      </c>
      <c r="J22" t="s">
        <v>28</v>
      </c>
      <c r="K22" t="s">
        <v>158</v>
      </c>
      <c r="L22" t="s">
        <v>159</v>
      </c>
    </row>
    <row r="23" spans="1:12">
      <c r="A23" t="s">
        <v>153</v>
      </c>
      <c r="B23" t="s">
        <v>161</v>
      </c>
      <c r="C23" t="s">
        <v>162</v>
      </c>
      <c r="D23" t="s">
        <v>163</v>
      </c>
      <c r="E23" t="s">
        <v>148</v>
      </c>
      <c r="G23" t="s">
        <v>35</v>
      </c>
      <c r="H23" t="s">
        <v>55</v>
      </c>
      <c r="I23" t="s">
        <v>164</v>
      </c>
      <c r="J23" t="s">
        <v>28</v>
      </c>
      <c r="K23" t="s">
        <v>165</v>
      </c>
      <c r="L23" t="s">
        <v>166</v>
      </c>
    </row>
    <row r="24" spans="1:12">
      <c r="A24" t="s">
        <v>160</v>
      </c>
      <c r="B24" t="s">
        <v>168</v>
      </c>
      <c r="C24" t="s">
        <v>169</v>
      </c>
      <c r="D24" t="s">
        <v>170</v>
      </c>
      <c r="E24" t="s">
        <v>148</v>
      </c>
      <c r="G24" t="s">
        <v>35</v>
      </c>
      <c r="H24" t="s">
        <v>60</v>
      </c>
      <c r="I24" t="s">
        <v>141</v>
      </c>
      <c r="J24" t="s">
        <v>28</v>
      </c>
      <c r="K24" t="s">
        <v>171</v>
      </c>
      <c r="L24" t="s">
        <v>172</v>
      </c>
    </row>
    <row r="25" spans="1:12">
      <c r="A25" t="s">
        <v>167</v>
      </c>
      <c r="B25" t="s">
        <v>174</v>
      </c>
      <c r="C25" t="s">
        <v>33</v>
      </c>
      <c r="D25" t="s">
        <v>175</v>
      </c>
      <c r="E25" t="s">
        <v>16</v>
      </c>
      <c r="F25" t="s">
        <v>17</v>
      </c>
      <c r="H25" t="s">
        <v>176</v>
      </c>
      <c r="I25" t="s">
        <v>20</v>
      </c>
      <c r="J25" t="s">
        <v>21</v>
      </c>
      <c r="K25" t="s">
        <v>177</v>
      </c>
      <c r="L25" t="s">
        <v>178</v>
      </c>
    </row>
    <row r="26" spans="1:12">
      <c r="A26" t="s">
        <v>173</v>
      </c>
      <c r="B26" t="s">
        <v>180</v>
      </c>
      <c r="C26" t="s">
        <v>33</v>
      </c>
      <c r="D26" t="s">
        <v>181</v>
      </c>
      <c r="E26" t="s">
        <v>16</v>
      </c>
      <c r="F26" t="s">
        <v>42</v>
      </c>
      <c r="H26" t="s">
        <v>182</v>
      </c>
      <c r="I26" t="s">
        <v>20</v>
      </c>
      <c r="J26" t="s">
        <v>21</v>
      </c>
      <c r="K26" t="s">
        <v>183</v>
      </c>
      <c r="L26" t="s">
        <v>178</v>
      </c>
    </row>
    <row r="27" spans="1:12">
      <c r="A27" t="s">
        <v>179</v>
      </c>
      <c r="B27" t="s">
        <v>185</v>
      </c>
      <c r="C27" t="s">
        <v>33</v>
      </c>
      <c r="D27" t="s">
        <v>186</v>
      </c>
      <c r="E27" t="s">
        <v>16</v>
      </c>
      <c r="F27" t="s">
        <v>17</v>
      </c>
      <c r="G27" t="s">
        <v>187</v>
      </c>
      <c r="H27" t="s">
        <v>19</v>
      </c>
      <c r="I27" t="s">
        <v>20</v>
      </c>
      <c r="J27" t="s">
        <v>21</v>
      </c>
      <c r="K27" t="s">
        <v>188</v>
      </c>
      <c r="L27" t="s">
        <v>189</v>
      </c>
    </row>
    <row r="28" spans="1:12">
      <c r="A28" t="s">
        <v>184</v>
      </c>
      <c r="B28" t="s">
        <v>191</v>
      </c>
      <c r="C28" t="s">
        <v>192</v>
      </c>
      <c r="D28" t="s">
        <v>193</v>
      </c>
      <c r="E28" t="s">
        <v>148</v>
      </c>
      <c r="G28" t="s">
        <v>187</v>
      </c>
      <c r="H28" t="s">
        <v>194</v>
      </c>
      <c r="I28" t="s">
        <v>149</v>
      </c>
      <c r="J28" t="s">
        <v>21</v>
      </c>
      <c r="K28" t="s">
        <v>195</v>
      </c>
      <c r="L28" t="s">
        <v>196</v>
      </c>
    </row>
    <row r="29" spans="1:12">
      <c r="A29" t="s">
        <v>190</v>
      </c>
      <c r="B29" t="s">
        <v>198</v>
      </c>
      <c r="C29" t="s">
        <v>192</v>
      </c>
      <c r="D29" t="s">
        <v>199</v>
      </c>
      <c r="E29" t="s">
        <v>133</v>
      </c>
      <c r="I29" t="s">
        <v>134</v>
      </c>
      <c r="J29" t="s">
        <v>21</v>
      </c>
      <c r="K29" t="s">
        <v>200</v>
      </c>
      <c r="L29" t="s">
        <v>201</v>
      </c>
    </row>
    <row r="30" spans="1:12">
      <c r="A30" t="s">
        <v>197</v>
      </c>
      <c r="B30" t="s">
        <v>203</v>
      </c>
      <c r="C30" t="s">
        <v>33</v>
      </c>
      <c r="D30" t="s">
        <v>204</v>
      </c>
      <c r="E30" t="s">
        <v>116</v>
      </c>
      <c r="I30" t="s">
        <v>116</v>
      </c>
      <c r="J30" t="s">
        <v>88</v>
      </c>
      <c r="K30" t="s">
        <v>205</v>
      </c>
      <c r="L30" t="s">
        <v>206</v>
      </c>
    </row>
    <row r="31" spans="1:12">
      <c r="A31" t="s">
        <v>202</v>
      </c>
      <c r="B31" t="s">
        <v>208</v>
      </c>
      <c r="C31" t="s">
        <v>209</v>
      </c>
      <c r="D31" t="s">
        <v>210</v>
      </c>
      <c r="E31" t="s">
        <v>16</v>
      </c>
      <c r="F31" t="s">
        <v>17</v>
      </c>
      <c r="G31" t="s">
        <v>187</v>
      </c>
      <c r="H31" t="s">
        <v>67</v>
      </c>
      <c r="I31" t="s">
        <v>20</v>
      </c>
      <c r="J31" t="s">
        <v>21</v>
      </c>
      <c r="K31" t="s">
        <v>211</v>
      </c>
      <c r="L31" t="s">
        <v>212</v>
      </c>
    </row>
    <row r="32" spans="1:12">
      <c r="A32" t="s">
        <v>207</v>
      </c>
      <c r="B32" t="s">
        <v>214</v>
      </c>
      <c r="C32" t="s">
        <v>33</v>
      </c>
      <c r="D32" t="s">
        <v>215</v>
      </c>
      <c r="E32" t="s">
        <v>16</v>
      </c>
      <c r="F32" t="s">
        <v>216</v>
      </c>
      <c r="G32" t="s">
        <v>187</v>
      </c>
      <c r="H32" t="s">
        <v>217</v>
      </c>
      <c r="I32" t="s">
        <v>20</v>
      </c>
      <c r="J32" t="s">
        <v>21</v>
      </c>
      <c r="K32" t="s">
        <v>218</v>
      </c>
      <c r="L32" t="s">
        <v>219</v>
      </c>
    </row>
    <row r="33" spans="1:12">
      <c r="A33" t="s">
        <v>213</v>
      </c>
      <c r="B33" t="s">
        <v>221</v>
      </c>
      <c r="C33" t="s">
        <v>33</v>
      </c>
      <c r="D33" t="s">
        <v>222</v>
      </c>
      <c r="E33" t="s">
        <v>16</v>
      </c>
      <c r="F33" t="s">
        <v>223</v>
      </c>
      <c r="G33" t="s">
        <v>187</v>
      </c>
      <c r="H33" t="s">
        <v>43</v>
      </c>
      <c r="I33" t="s">
        <v>20</v>
      </c>
      <c r="J33" t="s">
        <v>21</v>
      </c>
      <c r="K33" t="s">
        <v>224</v>
      </c>
      <c r="L33" t="s">
        <v>225</v>
      </c>
    </row>
    <row r="34" spans="1:12">
      <c r="A34" t="s">
        <v>220</v>
      </c>
      <c r="B34" t="s">
        <v>227</v>
      </c>
      <c r="C34" t="s">
        <v>33</v>
      </c>
      <c r="D34" t="s">
        <v>228</v>
      </c>
      <c r="E34" t="s">
        <v>16</v>
      </c>
      <c r="F34" t="s">
        <v>42</v>
      </c>
      <c r="G34" t="s">
        <v>187</v>
      </c>
      <c r="H34" t="s">
        <v>50</v>
      </c>
      <c r="I34" t="s">
        <v>20</v>
      </c>
      <c r="J34" t="s">
        <v>21</v>
      </c>
      <c r="K34" t="s">
        <v>229</v>
      </c>
      <c r="L34" t="s">
        <v>230</v>
      </c>
    </row>
    <row r="35" spans="1:12">
      <c r="A35" t="s">
        <v>226</v>
      </c>
      <c r="B35" t="s">
        <v>231</v>
      </c>
      <c r="C35" t="s">
        <v>33</v>
      </c>
      <c r="D35" t="s">
        <v>232</v>
      </c>
      <c r="E35" t="s">
        <v>16</v>
      </c>
      <c r="F35" t="s">
        <v>54</v>
      </c>
      <c r="G35" t="s">
        <v>187</v>
      </c>
      <c r="H35" t="s">
        <v>182</v>
      </c>
      <c r="I35" t="s">
        <v>20</v>
      </c>
      <c r="J35" t="s">
        <v>21</v>
      </c>
      <c r="K35" t="s">
        <v>233</v>
      </c>
      <c r="L35" t="s">
        <v>234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"/>
  <sheetViews>
    <sheetView tabSelected="1" workbookViewId="0">
      <selection activeCell="I12" sqref="I12"/>
    </sheetView>
  </sheetViews>
  <sheetFormatPr defaultRowHeight="14.25"/>
  <cols>
    <col min="1" max="1" width="10" customWidth="1"/>
    <col min="2" max="2" width="45" customWidth="1"/>
    <col min="3" max="6" width="18" customWidth="1"/>
    <col min="7" max="8" width="24" customWidth="1"/>
    <col min="9" max="9" width="22" customWidth="1"/>
    <col min="10" max="10" width="18" customWidth="1"/>
    <col min="11" max="11" width="16" customWidth="1"/>
    <col min="12" max="15" width="14" customWidth="1"/>
    <col min="16" max="16" width="90.5" customWidth="1"/>
  </cols>
  <sheetData>
    <row r="1" spans="1:23" ht="30">
      <c r="A1" s="1" t="s">
        <v>0</v>
      </c>
      <c r="B1" s="1" t="s">
        <v>235</v>
      </c>
      <c r="C1" s="1" t="s">
        <v>4</v>
      </c>
      <c r="D1" s="1" t="s">
        <v>236</v>
      </c>
      <c r="E1" s="1" t="s">
        <v>5</v>
      </c>
      <c r="F1" s="1" t="s">
        <v>237</v>
      </c>
      <c r="G1" s="1" t="s">
        <v>8</v>
      </c>
      <c r="H1" s="1" t="s">
        <v>238</v>
      </c>
      <c r="I1" s="1" t="s">
        <v>9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11</v>
      </c>
      <c r="Q1" s="1"/>
      <c r="R1" s="1"/>
      <c r="S1" s="1"/>
      <c r="T1" s="1"/>
      <c r="U1" s="1"/>
      <c r="V1" s="1"/>
      <c r="W1" s="1"/>
    </row>
    <row r="2" spans="1:23">
      <c r="A2" t="s">
        <v>12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20</v>
      </c>
      <c r="H2" t="s">
        <v>20</v>
      </c>
      <c r="I2" t="s">
        <v>21</v>
      </c>
      <c r="J2" s="2">
        <v>9058</v>
      </c>
      <c r="K2">
        <f>IF(AND(C2&lt;&gt;"",D2&lt;&gt;""),--(C2=D2),"")</f>
        <v>1</v>
      </c>
      <c r="L2">
        <f>IF(E2="",1,IF(F2&lt;&gt;"",--(E2=F2),""))</f>
        <v>1</v>
      </c>
      <c r="M2">
        <f>IF(AND(G2&lt;&gt;"",H2&lt;&gt;""),--(G2=H2),"")</f>
        <v>1</v>
      </c>
      <c r="N2" t="e">
        <f>IF(I2="No aplica",1,IF(I2="No",--(#REF!=""),IF(I2="Sí, mismo evento actualizado",--(#REF!&lt;&gt;""),IF(I2="Sí, se elimina/cancela",--(#REF!&lt;&gt;""),IF(I2="Sí",--(#REF!&lt;&gt;""),"")))))</f>
        <v>#REF!</v>
      </c>
      <c r="O2" t="e">
        <f t="shared" ref="O2:O32" si="0">IF(COUNT(K2:N2)=0,"",--(SUM(K2:N2)=COUNT(K2:N2)))</f>
        <v>#REF!</v>
      </c>
    </row>
    <row r="3" spans="1:23">
      <c r="A3" t="s">
        <v>24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27</v>
      </c>
      <c r="H3" t="s">
        <v>27</v>
      </c>
      <c r="I3" t="s">
        <v>28</v>
      </c>
      <c r="J3" s="2">
        <v>5723</v>
      </c>
      <c r="K3">
        <f>IF(AND(C3&lt;&gt;"",D3&lt;&gt;""),--(C3=D3),"")</f>
        <v>1</v>
      </c>
      <c r="L3">
        <f>IF(E3="",1,IF(F3&lt;&gt;"",--(E3=F3),""))</f>
        <v>1</v>
      </c>
      <c r="M3">
        <f>IF(AND(G3&lt;&gt;"",H3&lt;&gt;""),--(G3=H3),"")</f>
        <v>1</v>
      </c>
      <c r="N3" t="e">
        <f>IF(I3="No aplica",1,IF(I3="No",--(#REF!=""),IF(I3="Sí, mismo evento actualizado",--(#REF!&lt;&gt;""),IF(I3="Sí, se elimina/cancela",--(#REF!&lt;&gt;""),IF(I3="Sí",--(#REF!&lt;&gt;""),"")))))</f>
        <v>#REF!</v>
      </c>
      <c r="O3" t="e">
        <f t="shared" si="0"/>
        <v>#REF!</v>
      </c>
    </row>
    <row r="4" spans="1:23">
      <c r="A4" t="s">
        <v>31</v>
      </c>
      <c r="B4" t="s">
        <v>34</v>
      </c>
      <c r="C4" t="s">
        <v>16</v>
      </c>
      <c r="D4" t="s">
        <v>16</v>
      </c>
      <c r="E4" t="s">
        <v>17</v>
      </c>
      <c r="F4" t="s">
        <v>17</v>
      </c>
      <c r="G4" t="s">
        <v>36</v>
      </c>
      <c r="H4" t="s">
        <v>36</v>
      </c>
      <c r="I4" t="s">
        <v>28</v>
      </c>
      <c r="J4" s="2">
        <v>1599</v>
      </c>
      <c r="K4">
        <f>IF(AND(C4&lt;&gt;"",D4&lt;&gt;""),--(C4=D4),"")</f>
        <v>1</v>
      </c>
      <c r="L4">
        <f>IF(E4="",1,IF(F4&lt;&gt;"",--(E4=F4),""))</f>
        <v>1</v>
      </c>
      <c r="M4">
        <f>IF(AND(G4&lt;&gt;"",H4&lt;&gt;""),--(G4=H4),"")</f>
        <v>1</v>
      </c>
      <c r="N4" t="e">
        <f>IF(I4="No aplica",1,IF(I4="No",--(#REF!=""),IF(I4="Sí, mismo evento actualizado",--(#REF!&lt;&gt;""),IF(I4="Sí, se elimina/cancela",--(#REF!&lt;&gt;""),IF(I4="Sí",--(#REF!&lt;&gt;""),"")))))</f>
        <v>#REF!</v>
      </c>
      <c r="O4" t="e">
        <f t="shared" si="0"/>
        <v>#REF!</v>
      </c>
    </row>
    <row r="5" spans="1:23">
      <c r="A5" t="s">
        <v>39</v>
      </c>
      <c r="B5" t="s">
        <v>41</v>
      </c>
      <c r="C5" t="s">
        <v>16</v>
      </c>
      <c r="D5" t="s">
        <v>16</v>
      </c>
      <c r="E5" t="s">
        <v>42</v>
      </c>
      <c r="F5" t="s">
        <v>42</v>
      </c>
      <c r="G5" t="s">
        <v>36</v>
      </c>
      <c r="H5" t="s">
        <v>36</v>
      </c>
      <c r="I5" t="s">
        <v>28</v>
      </c>
      <c r="J5" s="2">
        <v>1280</v>
      </c>
      <c r="K5">
        <f>IF(AND(C5&lt;&gt;"",D5&lt;&gt;""),--(C5=D5),"")</f>
        <v>1</v>
      </c>
      <c r="L5">
        <f>IF(E5="",1,IF(F5&lt;&gt;"",--(E5=F5),""))</f>
        <v>1</v>
      </c>
      <c r="M5">
        <f>IF(AND(G5&lt;&gt;"",H5&lt;&gt;""),--(G5=H5),"")</f>
        <v>1</v>
      </c>
      <c r="N5" t="e">
        <f>IF(I5="No aplica",1,IF(I5="No",--(#REF!=""),IF(I5="Sí, mismo evento actualizado",--(#REF!&lt;&gt;""),IF(I5="Sí, se elimina/cancela",--(#REF!&lt;&gt;""),IF(I5="Sí",--(#REF!&lt;&gt;""),"")))))</f>
        <v>#REF!</v>
      </c>
      <c r="O5" t="e">
        <f t="shared" si="0"/>
        <v>#REF!</v>
      </c>
    </row>
    <row r="6" spans="1:23">
      <c r="A6" t="s">
        <v>46</v>
      </c>
      <c r="B6" t="s">
        <v>49</v>
      </c>
      <c r="C6" t="s">
        <v>16</v>
      </c>
      <c r="D6" t="s">
        <v>16</v>
      </c>
      <c r="G6" t="s">
        <v>20</v>
      </c>
      <c r="H6" t="s">
        <v>20</v>
      </c>
      <c r="I6" t="s">
        <v>21</v>
      </c>
      <c r="J6" s="2">
        <v>7849</v>
      </c>
      <c r="K6">
        <f>IF(AND(C6&lt;&gt;"",D6&lt;&gt;""),--(C6=D6),"")</f>
        <v>1</v>
      </c>
      <c r="L6">
        <f>IF(E6="",1,IF(F6&lt;&gt;"",--(E6=F6),""))</f>
        <v>1</v>
      </c>
      <c r="M6">
        <f>IF(AND(G6&lt;&gt;"",H6&lt;&gt;""),--(G6=H6),"")</f>
        <v>1</v>
      </c>
      <c r="N6" t="e">
        <f>IF(I6="No aplica",1,IF(I6="No",--(#REF!=""),IF(I6="Sí, mismo evento actualizado",--(#REF!&lt;&gt;""),IF(I6="Sí, se elimina/cancela",--(#REF!&lt;&gt;""),IF(I6="Sí",--(#REF!&lt;&gt;""),"")))))</f>
        <v>#REF!</v>
      </c>
      <c r="O6" t="e">
        <f t="shared" si="0"/>
        <v>#REF!</v>
      </c>
    </row>
    <row r="7" spans="1:23">
      <c r="A7" t="s">
        <v>53</v>
      </c>
      <c r="B7" t="s">
        <v>58</v>
      </c>
      <c r="C7" t="s">
        <v>16</v>
      </c>
      <c r="D7" t="s">
        <v>16</v>
      </c>
      <c r="E7" t="s">
        <v>59</v>
      </c>
      <c r="F7" t="s">
        <v>59</v>
      </c>
      <c r="G7" t="s">
        <v>20</v>
      </c>
      <c r="H7" t="s">
        <v>20</v>
      </c>
      <c r="I7" t="s">
        <v>21</v>
      </c>
      <c r="J7" s="2">
        <v>7411</v>
      </c>
      <c r="K7">
        <f>IF(AND(C7&lt;&gt;"",D7&lt;&gt;""),--(C7=D7),"")</f>
        <v>1</v>
      </c>
      <c r="L7">
        <f>IF(E7="",1,IF(F7&lt;&gt;"",--(E7=F7),""))</f>
        <v>1</v>
      </c>
      <c r="M7">
        <f>IF(AND(G7&lt;&gt;"",H7&lt;&gt;""),--(G7=H7),"")</f>
        <v>1</v>
      </c>
      <c r="N7" t="e">
        <f>IF(I7="No aplica",1,IF(I7="No",--(#REF!=""),IF(I7="Sí, mismo evento actualizado",--(#REF!&lt;&gt;""),IF(I7="Sí, se elimina/cancela",--(#REF!&lt;&gt;""),IF(I7="Sí",--(#REF!&lt;&gt;""),"")))))</f>
        <v>#REF!</v>
      </c>
      <c r="O7" t="e">
        <f t="shared" si="0"/>
        <v>#REF!</v>
      </c>
    </row>
    <row r="8" spans="1:23">
      <c r="A8" t="s">
        <v>56</v>
      </c>
      <c r="B8" t="s">
        <v>65</v>
      </c>
      <c r="C8" t="s">
        <v>16</v>
      </c>
      <c r="D8" t="s">
        <v>16</v>
      </c>
      <c r="E8" t="s">
        <v>66</v>
      </c>
      <c r="F8" t="s">
        <v>66</v>
      </c>
      <c r="G8" t="s">
        <v>20</v>
      </c>
      <c r="H8" t="s">
        <v>20</v>
      </c>
      <c r="I8" t="s">
        <v>21</v>
      </c>
      <c r="J8" s="2">
        <v>7344</v>
      </c>
      <c r="K8">
        <f>IF(AND(C8&lt;&gt;"",D8&lt;&gt;""),--(C8=D8),"")</f>
        <v>1</v>
      </c>
      <c r="L8">
        <f>IF(E8="",1,IF(F8&lt;&gt;"",--(E8=F8),""))</f>
        <v>1</v>
      </c>
      <c r="M8">
        <f>IF(AND(G8&lt;&gt;"",H8&lt;&gt;""),--(G8=H8),"")</f>
        <v>1</v>
      </c>
      <c r="N8" t="e">
        <f>IF(I8="No aplica",1,IF(I8="No",--(#REF!=""),IF(I8="Sí, mismo evento actualizado",--(#REF!&lt;&gt;""),IF(I8="Sí, se elimina/cancela",--(#REF!&lt;&gt;""),IF(I8="Sí",--(#REF!&lt;&gt;""),"")))))</f>
        <v>#REF!</v>
      </c>
      <c r="O8" t="e">
        <f t="shared" si="0"/>
        <v>#REF!</v>
      </c>
    </row>
    <row r="9" spans="1:23">
      <c r="A9" t="s">
        <v>63</v>
      </c>
      <c r="B9" t="s">
        <v>72</v>
      </c>
      <c r="C9" t="s">
        <v>16</v>
      </c>
      <c r="D9" t="s">
        <v>16</v>
      </c>
      <c r="E9" t="s">
        <v>73</v>
      </c>
      <c r="F9" t="s">
        <v>73</v>
      </c>
      <c r="G9" t="s">
        <v>20</v>
      </c>
      <c r="H9" t="s">
        <v>20</v>
      </c>
      <c r="I9" t="s">
        <v>21</v>
      </c>
      <c r="J9" s="2">
        <v>8146</v>
      </c>
      <c r="K9">
        <f>IF(AND(C9&lt;&gt;"",D9&lt;&gt;""),--(C9=D9),"")</f>
        <v>1</v>
      </c>
      <c r="L9">
        <f>IF(E9="",1,IF(F9&lt;&gt;"",--(E9=F9),""))</f>
        <v>1</v>
      </c>
      <c r="M9">
        <f>IF(AND(G9&lt;&gt;"",H9&lt;&gt;""),--(G9=H9),"")</f>
        <v>1</v>
      </c>
      <c r="N9" t="e">
        <f>IF(I9="No aplica",1,IF(I9="No",--(#REF!=""),IF(I9="Sí, mismo evento actualizado",--(#REF!&lt;&gt;""),IF(I9="Sí, se elimina/cancela",--(#REF!&lt;&gt;""),IF(I9="Sí",--(#REF!&lt;&gt;""),"")))))</f>
        <v>#REF!</v>
      </c>
      <c r="O9" t="e">
        <f t="shared" si="0"/>
        <v>#REF!</v>
      </c>
    </row>
    <row r="10" spans="1:23">
      <c r="A10" t="s">
        <v>70</v>
      </c>
      <c r="B10" t="s">
        <v>79</v>
      </c>
      <c r="C10" t="s">
        <v>16</v>
      </c>
      <c r="D10" t="s">
        <v>16</v>
      </c>
      <c r="E10" t="s">
        <v>54</v>
      </c>
      <c r="F10" t="s">
        <v>54</v>
      </c>
      <c r="G10" t="s">
        <v>20</v>
      </c>
      <c r="H10" t="s">
        <v>20</v>
      </c>
      <c r="I10" t="s">
        <v>21</v>
      </c>
      <c r="J10" s="2">
        <v>8550</v>
      </c>
      <c r="K10">
        <f>IF(AND(C10&lt;&gt;"",D10&lt;&gt;""),--(C10=D10),"")</f>
        <v>1</v>
      </c>
      <c r="L10">
        <f>IF(E10="",1,IF(F10&lt;&gt;"",--(E10=F10),""))</f>
        <v>1</v>
      </c>
      <c r="M10">
        <f>IF(AND(G10&lt;&gt;"",H10&lt;&gt;""),--(G10=H10),"")</f>
        <v>1</v>
      </c>
      <c r="N10" t="e">
        <f>IF(I10="No aplica",1,IF(I10="No",--(#REF!=""),IF(I10="Sí, mismo evento actualizado",--(#REF!&lt;&gt;""),IF(I10="Sí, se elimina/cancela",--(#REF!&lt;&gt;""),IF(I10="Sí",--(#REF!&lt;&gt;""),"")))))</f>
        <v>#REF!</v>
      </c>
      <c r="O10" t="e">
        <f t="shared" si="0"/>
        <v>#REF!</v>
      </c>
    </row>
    <row r="11" spans="1:23">
      <c r="A11" t="s">
        <v>76</v>
      </c>
      <c r="B11" t="s">
        <v>85</v>
      </c>
      <c r="C11" t="s">
        <v>86</v>
      </c>
      <c r="D11" t="s">
        <v>86</v>
      </c>
      <c r="F11" t="s">
        <v>54</v>
      </c>
      <c r="G11" t="s">
        <v>87</v>
      </c>
      <c r="H11" t="s">
        <v>87</v>
      </c>
      <c r="I11" t="s">
        <v>88</v>
      </c>
      <c r="J11" s="2">
        <v>1305</v>
      </c>
      <c r="K11">
        <f>IF(AND(C11&lt;&gt;"",D11&lt;&gt;""),--(C11=D11),"")</f>
        <v>1</v>
      </c>
      <c r="L11">
        <f>IF(E11="",1,IF(F11&lt;&gt;"",--(E11=F11),""))</f>
        <v>1</v>
      </c>
      <c r="M11">
        <f>IF(AND(G11&lt;&gt;"",H11&lt;&gt;""),--(G11=H11),"")</f>
        <v>1</v>
      </c>
      <c r="N11">
        <f>IF(I11="No aplica",1,IF(I11="No",--(#REF!=""),IF(I11="Sí, mismo evento actualizado",--(#REF!&lt;&gt;""),IF(I11="Sí, se elimina/cancela",--(#REF!&lt;&gt;""),IF(I11="Sí",--(#REF!&lt;&gt;""),"")))))</f>
        <v>1</v>
      </c>
      <c r="O11">
        <f t="shared" si="0"/>
        <v>1</v>
      </c>
      <c r="P11" t="s">
        <v>258</v>
      </c>
    </row>
    <row r="12" spans="1:23">
      <c r="A12" t="s">
        <v>83</v>
      </c>
      <c r="B12" t="s">
        <v>93</v>
      </c>
      <c r="C12" t="s">
        <v>86</v>
      </c>
      <c r="D12" t="s">
        <v>86</v>
      </c>
      <c r="E12" t="s">
        <v>66</v>
      </c>
      <c r="F12" t="s">
        <v>66</v>
      </c>
      <c r="G12" t="s">
        <v>87</v>
      </c>
      <c r="H12" t="s">
        <v>87</v>
      </c>
      <c r="I12" t="s">
        <v>88</v>
      </c>
      <c r="J12" s="2">
        <v>1770</v>
      </c>
      <c r="K12">
        <f>IF(AND(C12&lt;&gt;"",D12&lt;&gt;""),--(C12=D12),"")</f>
        <v>1</v>
      </c>
      <c r="L12">
        <f>IF(E12="",1,IF(F12&lt;&gt;"",--(E12=F12),""))</f>
        <v>1</v>
      </c>
      <c r="M12">
        <f>IF(AND(G12&lt;&gt;"",H12&lt;&gt;""),--(G12=H12),"")</f>
        <v>1</v>
      </c>
      <c r="N12">
        <f>IF(I12="No aplica",1,IF(I12="No",--(#REF!=""),IF(I12="Sí, mismo evento actualizado",--(#REF!&lt;&gt;""),IF(I12="Sí, se elimina/cancela",--(#REF!&lt;&gt;""),IF(I12="Sí",--(#REF!&lt;&gt;""),"")))))</f>
        <v>1</v>
      </c>
      <c r="O12">
        <f t="shared" si="0"/>
        <v>1</v>
      </c>
    </row>
    <row r="13" spans="1:23">
      <c r="A13" t="s">
        <v>91</v>
      </c>
      <c r="B13" t="s">
        <v>98</v>
      </c>
      <c r="C13" t="s">
        <v>86</v>
      </c>
      <c r="D13" t="s">
        <v>86</v>
      </c>
      <c r="E13" t="s">
        <v>17</v>
      </c>
      <c r="F13" t="s">
        <v>17</v>
      </c>
      <c r="G13" t="s">
        <v>87</v>
      </c>
      <c r="H13" t="s">
        <v>87</v>
      </c>
      <c r="I13" t="s">
        <v>88</v>
      </c>
      <c r="J13" s="2">
        <v>1453</v>
      </c>
      <c r="K13">
        <f>IF(AND(C13&lt;&gt;"",D13&lt;&gt;""),--(C13=D13),"")</f>
        <v>1</v>
      </c>
      <c r="L13">
        <f>IF(E13="",1,IF(F13&lt;&gt;"",--(E13=F13),""))</f>
        <v>1</v>
      </c>
      <c r="M13">
        <f>IF(AND(G13&lt;&gt;"",H13&lt;&gt;""),--(G13=H13),"")</f>
        <v>1</v>
      </c>
      <c r="N13">
        <f>IF(I13="No aplica",1,IF(I13="No",--(#REF!=""),IF(I13="Sí, mismo evento actualizado",--(#REF!&lt;&gt;""),IF(I13="Sí, se elimina/cancela",--(#REF!&lt;&gt;""),IF(I13="Sí",--(#REF!&lt;&gt;""),"")))))</f>
        <v>1</v>
      </c>
      <c r="O13">
        <f t="shared" si="0"/>
        <v>1</v>
      </c>
    </row>
    <row r="14" spans="1:23">
      <c r="A14" t="s">
        <v>96</v>
      </c>
      <c r="B14" t="s">
        <v>103</v>
      </c>
      <c r="C14" t="s">
        <v>104</v>
      </c>
      <c r="D14" t="s">
        <v>104</v>
      </c>
      <c r="G14" t="s">
        <v>105</v>
      </c>
      <c r="H14" t="s">
        <v>105</v>
      </c>
      <c r="I14" t="s">
        <v>88</v>
      </c>
      <c r="J14" s="2">
        <v>1481</v>
      </c>
      <c r="K14">
        <f>IF(AND(C14&lt;&gt;"",D14&lt;&gt;""),--(C14=D14),"")</f>
        <v>1</v>
      </c>
      <c r="L14">
        <f>IF(E14="",1,IF(F14&lt;&gt;"",--(E14=F14),""))</f>
        <v>1</v>
      </c>
      <c r="M14">
        <f>IF(AND(G14&lt;&gt;"",H14&lt;&gt;""),--(G14=H14),"")</f>
        <v>1</v>
      </c>
      <c r="N14">
        <f>IF(I14="No aplica",1,IF(I14="No",--(#REF!=""),IF(I14="Sí, mismo evento actualizado",--(#REF!&lt;&gt;""),IF(I14="Sí, se elimina/cancela",--(#REF!&lt;&gt;""),IF(I14="Sí",--(#REF!&lt;&gt;""),"")))))</f>
        <v>1</v>
      </c>
      <c r="O14">
        <f t="shared" si="0"/>
        <v>1</v>
      </c>
    </row>
    <row r="15" spans="1:23">
      <c r="A15" t="s">
        <v>101</v>
      </c>
      <c r="B15" t="s">
        <v>110</v>
      </c>
      <c r="C15" t="s">
        <v>104</v>
      </c>
      <c r="D15" t="s">
        <v>104</v>
      </c>
      <c r="G15" t="s">
        <v>105</v>
      </c>
      <c r="H15" t="s">
        <v>105</v>
      </c>
      <c r="I15" t="s">
        <v>88</v>
      </c>
      <c r="J15" s="2">
        <v>1971</v>
      </c>
      <c r="K15">
        <f>IF(AND(C15&lt;&gt;"",D15&lt;&gt;""),--(C15=D15),"")</f>
        <v>1</v>
      </c>
      <c r="L15">
        <f>IF(E15="",1,IF(F15&lt;&gt;"",--(E15=F15),""))</f>
        <v>1</v>
      </c>
      <c r="M15">
        <f>IF(AND(G15&lt;&gt;"",H15&lt;&gt;""),--(G15=H15),"")</f>
        <v>1</v>
      </c>
      <c r="N15">
        <f>IF(I15="No aplica",1,IF(I15="No",--(#REF!=""),IF(I15="Sí, mismo evento actualizado",--(#REF!&lt;&gt;""),IF(I15="Sí, se elimina/cancela",--(#REF!&lt;&gt;""),IF(I15="Sí",--(#REF!&lt;&gt;""),"")))))</f>
        <v>1</v>
      </c>
      <c r="O15">
        <f t="shared" si="0"/>
        <v>1</v>
      </c>
    </row>
    <row r="16" spans="1:23">
      <c r="A16" t="s">
        <v>108</v>
      </c>
      <c r="B16" t="s">
        <v>115</v>
      </c>
      <c r="C16" t="s">
        <v>116</v>
      </c>
      <c r="D16" t="s">
        <v>116</v>
      </c>
      <c r="G16" t="s">
        <v>116</v>
      </c>
      <c r="H16" t="s">
        <v>116</v>
      </c>
      <c r="I16" t="s">
        <v>88</v>
      </c>
      <c r="J16" s="2">
        <v>1936</v>
      </c>
      <c r="K16">
        <f>IF(AND(C16&lt;&gt;"",D16&lt;&gt;""),--(C16=D16),"")</f>
        <v>1</v>
      </c>
      <c r="L16">
        <f>IF(E16="",1,IF(F16&lt;&gt;"",--(E16=F16),""))</f>
        <v>1</v>
      </c>
      <c r="M16">
        <f>IF(AND(G16&lt;&gt;"",H16&lt;&gt;""),--(G16=H16),"")</f>
        <v>1</v>
      </c>
      <c r="N16">
        <f>IF(I16="No aplica",1,IF(I16="No",--(#REF!=""),IF(I16="Sí, mismo evento actualizado",--(#REF!&lt;&gt;""),IF(I16="Sí, se elimina/cancela",--(#REF!&lt;&gt;""),IF(I16="Sí",--(#REF!&lt;&gt;""),"")))))</f>
        <v>1</v>
      </c>
      <c r="O16">
        <f t="shared" si="0"/>
        <v>1</v>
      </c>
    </row>
    <row r="17" spans="1:15">
      <c r="A17" t="s">
        <v>113</v>
      </c>
      <c r="B17" t="s">
        <v>121</v>
      </c>
      <c r="C17" t="s">
        <v>116</v>
      </c>
      <c r="D17" t="s">
        <v>116</v>
      </c>
      <c r="G17" t="s">
        <v>116</v>
      </c>
      <c r="H17" t="s">
        <v>116</v>
      </c>
      <c r="I17" t="s">
        <v>88</v>
      </c>
      <c r="J17" s="2">
        <v>2571</v>
      </c>
      <c r="K17">
        <f>IF(AND(C17&lt;&gt;"",D17&lt;&gt;""),--(C17=D17),"")</f>
        <v>1</v>
      </c>
      <c r="L17">
        <f>IF(E17="",1,IF(F17&lt;&gt;"",--(E17=F17),""))</f>
        <v>1</v>
      </c>
      <c r="M17">
        <f>IF(AND(G17&lt;&gt;"",H17&lt;&gt;""),--(G17=H17),"")</f>
        <v>1</v>
      </c>
      <c r="N17">
        <f>IF(I17="No aplica",1,IF(I17="No",--(#REF!=""),IF(I17="Sí, mismo evento actualizado",--(#REF!&lt;&gt;""),IF(I17="Sí, se elimina/cancela",--(#REF!&lt;&gt;""),IF(I17="Sí",--(#REF!&lt;&gt;""),"")))))</f>
        <v>1</v>
      </c>
      <c r="O17">
        <f t="shared" si="0"/>
        <v>1</v>
      </c>
    </row>
    <row r="18" spans="1:15">
      <c r="A18" t="s">
        <v>119</v>
      </c>
      <c r="B18" t="s">
        <v>126</v>
      </c>
      <c r="C18" t="s">
        <v>16</v>
      </c>
      <c r="D18" t="s">
        <v>16</v>
      </c>
      <c r="E18" t="s">
        <v>17</v>
      </c>
      <c r="F18" t="s">
        <v>17</v>
      </c>
      <c r="G18" t="s">
        <v>36</v>
      </c>
      <c r="H18" t="s">
        <v>36</v>
      </c>
      <c r="I18" t="s">
        <v>28</v>
      </c>
      <c r="J18" s="2">
        <v>1380</v>
      </c>
      <c r="K18">
        <f>IF(AND(C18&lt;&gt;"",D18&lt;&gt;""),--(C18=D18),"")</f>
        <v>1</v>
      </c>
      <c r="L18">
        <f>IF(E18="",1,IF(F18&lt;&gt;"",--(E18=F18),""))</f>
        <v>1</v>
      </c>
      <c r="M18">
        <f>IF(AND(G18&lt;&gt;"",H18&lt;&gt;""),--(G18=H18),"")</f>
        <v>1</v>
      </c>
      <c r="N18" t="e">
        <f>IF(I18="No aplica",1,IF(I18="No",--(#REF!=""),IF(I18="Sí, mismo evento actualizado",--(#REF!&lt;&gt;""),IF(I18="Sí, se elimina/cancela",--(#REF!&lt;&gt;""),IF(I18="Sí",--(#REF!&lt;&gt;""),"")))))</f>
        <v>#REF!</v>
      </c>
      <c r="O18" t="e">
        <f t="shared" si="0"/>
        <v>#REF!</v>
      </c>
    </row>
    <row r="19" spans="1:15">
      <c r="A19" t="s">
        <v>124</v>
      </c>
      <c r="B19" t="s">
        <v>132</v>
      </c>
      <c r="C19" t="s">
        <v>133</v>
      </c>
      <c r="D19" t="s">
        <v>133</v>
      </c>
      <c r="G19" t="s">
        <v>134</v>
      </c>
      <c r="H19" t="s">
        <v>134</v>
      </c>
      <c r="I19" t="s">
        <v>135</v>
      </c>
      <c r="J19" s="2">
        <v>6509</v>
      </c>
      <c r="K19">
        <f>IF(AND(C19&lt;&gt;"",D19&lt;&gt;""),--(C19=D19),"")</f>
        <v>1</v>
      </c>
      <c r="L19">
        <f>IF(E19="",1,IF(F19&lt;&gt;"",--(E19=F19),""))</f>
        <v>1</v>
      </c>
      <c r="M19">
        <f>IF(AND(G19&lt;&gt;"",H19&lt;&gt;""),--(G19=H19),"")</f>
        <v>1</v>
      </c>
      <c r="N19" t="e">
        <f>IF(I19="No aplica",1,IF(I19="No",--(#REF!=""),IF(I19="Sí, mismo evento actualizado",--(#REF!&lt;&gt;""),IF(I19="Sí, se elimina/cancela",--(#REF!&lt;&gt;""),IF(I19="Sí",--(#REF!&lt;&gt;""),"")))))</f>
        <v>#REF!</v>
      </c>
      <c r="O19" t="e">
        <f t="shared" si="0"/>
        <v>#REF!</v>
      </c>
    </row>
    <row r="20" spans="1:15">
      <c r="A20" t="s">
        <v>129</v>
      </c>
      <c r="B20" t="s">
        <v>132</v>
      </c>
      <c r="C20" t="s">
        <v>133</v>
      </c>
      <c r="D20" t="s">
        <v>133</v>
      </c>
      <c r="G20" t="s">
        <v>141</v>
      </c>
      <c r="H20" t="s">
        <v>141</v>
      </c>
      <c r="I20" t="s">
        <v>28</v>
      </c>
      <c r="J20" s="2">
        <v>3352</v>
      </c>
      <c r="K20">
        <f>IF(AND(C20&lt;&gt;"",D20&lt;&gt;""),--(C20=D20),"")</f>
        <v>1</v>
      </c>
      <c r="L20">
        <f>IF(E20="",1,IF(F20&lt;&gt;"",--(E20=F20),""))</f>
        <v>1</v>
      </c>
      <c r="M20">
        <f>IF(AND(G20&lt;&gt;"",H20&lt;&gt;""),--(G20=H20),"")</f>
        <v>1</v>
      </c>
      <c r="N20" t="e">
        <f>IF(I20="No aplica",1,IF(I20="No",--(#REF!=""),IF(I20="Sí, mismo evento actualizado",--(#REF!&lt;&gt;""),IF(I20="Sí, se elimina/cancela",--(#REF!&lt;&gt;""),IF(I20="Sí",--(#REF!&lt;&gt;""),"")))))</f>
        <v>#REF!</v>
      </c>
      <c r="O20" t="e">
        <f t="shared" si="0"/>
        <v>#REF!</v>
      </c>
    </row>
    <row r="21" spans="1:15">
      <c r="A21" t="s">
        <v>138</v>
      </c>
      <c r="B21" t="s">
        <v>147</v>
      </c>
      <c r="C21" t="s">
        <v>148</v>
      </c>
      <c r="D21" t="s">
        <v>148</v>
      </c>
      <c r="G21" t="s">
        <v>149</v>
      </c>
      <c r="H21" t="s">
        <v>149</v>
      </c>
      <c r="I21" t="s">
        <v>150</v>
      </c>
      <c r="J21" s="2">
        <v>7382</v>
      </c>
      <c r="K21">
        <f>IF(AND(C21&lt;&gt;"",D21&lt;&gt;""),--(C21=D21),"")</f>
        <v>1</v>
      </c>
      <c r="L21">
        <f>IF(E21="",1,IF(F21&lt;&gt;"",--(E21=F21),""))</f>
        <v>1</v>
      </c>
      <c r="M21">
        <f>IF(AND(G21&lt;&gt;"",H21&lt;&gt;""),--(G21=H21),"")</f>
        <v>1</v>
      </c>
      <c r="N21" t="e">
        <f>IF(I21="No aplica",1,IF(I21="No",--(#REF!=""),IF(I21="Sí, mismo evento actualizado",--(#REF!&lt;&gt;""),IF(I21="Sí, se elimina/cancela",--(#REF!&lt;&gt;""),IF(I21="Sí",--(#REF!&lt;&gt;""),"")))))</f>
        <v>#REF!</v>
      </c>
      <c r="O21" t="e">
        <f t="shared" si="0"/>
        <v>#REF!</v>
      </c>
    </row>
    <row r="22" spans="1:15">
      <c r="A22" t="s">
        <v>144</v>
      </c>
      <c r="B22" t="s">
        <v>156</v>
      </c>
      <c r="C22" t="s">
        <v>148</v>
      </c>
      <c r="D22" t="s">
        <v>148</v>
      </c>
      <c r="G22" t="s">
        <v>157</v>
      </c>
      <c r="H22" t="s">
        <v>157</v>
      </c>
      <c r="I22" t="s">
        <v>28</v>
      </c>
      <c r="J22" s="2">
        <v>1536</v>
      </c>
      <c r="K22">
        <f>IF(AND(C22&lt;&gt;"",D22&lt;&gt;""),--(C22=D22),"")</f>
        <v>1</v>
      </c>
      <c r="L22">
        <f>IF(E22="",1,IF(F22&lt;&gt;"",--(E22=F22),""))</f>
        <v>1</v>
      </c>
      <c r="M22">
        <f>IF(AND(G22&lt;&gt;"",H22&lt;&gt;""),--(G22=H22),"")</f>
        <v>1</v>
      </c>
      <c r="N22" t="e">
        <f>IF(I22="No aplica",1,IF(I22="No",--(#REF!=""),IF(I22="Sí, mismo evento actualizado",--(#REF!&lt;&gt;""),IF(I22="Sí, se elimina/cancela",--(#REF!&lt;&gt;""),IF(I22="Sí",--(#REF!&lt;&gt;""),"")))))</f>
        <v>#REF!</v>
      </c>
      <c r="O22" t="e">
        <f t="shared" si="0"/>
        <v>#REF!</v>
      </c>
    </row>
    <row r="23" spans="1:15">
      <c r="A23" t="s">
        <v>153</v>
      </c>
      <c r="B23" t="s">
        <v>257</v>
      </c>
      <c r="C23" t="s">
        <v>148</v>
      </c>
      <c r="D23" t="s">
        <v>148</v>
      </c>
      <c r="G23" t="s">
        <v>164</v>
      </c>
      <c r="H23" t="s">
        <v>164</v>
      </c>
      <c r="I23" t="s">
        <v>28</v>
      </c>
      <c r="J23" s="2">
        <v>5281</v>
      </c>
      <c r="K23">
        <f>IF(AND(C23&lt;&gt;"",D23&lt;&gt;""),--(C23=D23),"")</f>
        <v>1</v>
      </c>
      <c r="L23">
        <f>IF(E23="",1,IF(F23&lt;&gt;"",--(E23=F23),""))</f>
        <v>1</v>
      </c>
      <c r="M23">
        <f>IF(AND(G23&lt;&gt;"",H23&lt;&gt;""),--(G23=H23),"")</f>
        <v>1</v>
      </c>
      <c r="N23" t="e">
        <f>IF(I23="No aplica",1,IF(I23="No",--(#REF!=""),IF(I23="Sí, mismo evento actualizado",--(#REF!&lt;&gt;""),IF(I23="Sí, se elimina/cancela",--(#REF!&lt;&gt;""),IF(I23="Sí",--(#REF!&lt;&gt;""),"")))))</f>
        <v>#REF!</v>
      </c>
      <c r="O23" t="e">
        <f t="shared" si="0"/>
        <v>#REF!</v>
      </c>
    </row>
    <row r="24" spans="1:15">
      <c r="A24" t="s">
        <v>160</v>
      </c>
      <c r="B24" t="s">
        <v>170</v>
      </c>
      <c r="C24" t="s">
        <v>148</v>
      </c>
      <c r="D24" t="s">
        <v>148</v>
      </c>
      <c r="G24" t="s">
        <v>141</v>
      </c>
      <c r="H24" t="s">
        <v>141</v>
      </c>
      <c r="I24" t="s">
        <v>28</v>
      </c>
      <c r="J24" s="2">
        <v>5186</v>
      </c>
      <c r="K24">
        <f>IF(AND(C24&lt;&gt;"",D24&lt;&gt;""),--(C24=D24),"")</f>
        <v>1</v>
      </c>
      <c r="L24">
        <f>IF(E24="",1,IF(F24&lt;&gt;"",--(E24=F24),""))</f>
        <v>1</v>
      </c>
      <c r="M24">
        <f>IF(AND(G24&lt;&gt;"",H24&lt;&gt;""),--(G24=H24),"")</f>
        <v>1</v>
      </c>
      <c r="N24" t="e">
        <f>IF(I24="No aplica",1,IF(I24="No",--(#REF!=""),IF(I24="Sí, mismo evento actualizado",--(#REF!&lt;&gt;""),IF(I24="Sí, se elimina/cancela",--(#REF!&lt;&gt;""),IF(I24="Sí",--(#REF!&lt;&gt;""),"")))))</f>
        <v>#REF!</v>
      </c>
      <c r="O24" t="e">
        <f t="shared" si="0"/>
        <v>#REF!</v>
      </c>
    </row>
    <row r="25" spans="1:15">
      <c r="A25" t="s">
        <v>167</v>
      </c>
      <c r="B25" t="s">
        <v>175</v>
      </c>
      <c r="C25" t="s">
        <v>16</v>
      </c>
      <c r="D25" t="s">
        <v>16</v>
      </c>
      <c r="E25" t="s">
        <v>17</v>
      </c>
      <c r="F25" t="s">
        <v>17</v>
      </c>
      <c r="G25" t="s">
        <v>20</v>
      </c>
      <c r="H25" t="s">
        <v>20</v>
      </c>
      <c r="I25" t="s">
        <v>21</v>
      </c>
      <c r="J25" s="2">
        <v>16180</v>
      </c>
      <c r="K25">
        <f>IF(AND(C25&lt;&gt;"",D25&lt;&gt;""),--(C25=D25),"")</f>
        <v>1</v>
      </c>
      <c r="L25">
        <f>IF(E25="",1,IF(F25&lt;&gt;"",--(E25=F25),""))</f>
        <v>1</v>
      </c>
      <c r="M25">
        <f>IF(AND(G25&lt;&gt;"",H25&lt;&gt;""),--(G25=H25),"")</f>
        <v>1</v>
      </c>
      <c r="N25" t="e">
        <f>IF(I25="No aplica",1,IF(I25="No",--(#REF!=""),IF(I25="Sí, mismo evento actualizado",--(#REF!&lt;&gt;""),IF(I25="Sí, se elimina/cancela",--(#REF!&lt;&gt;""),IF(I25="Sí",--(#REF!&lt;&gt;""),"")))))</f>
        <v>#REF!</v>
      </c>
      <c r="O25" t="e">
        <f t="shared" si="0"/>
        <v>#REF!</v>
      </c>
    </row>
    <row r="26" spans="1:15">
      <c r="A26" t="s">
        <v>173</v>
      </c>
      <c r="B26" t="s">
        <v>181</v>
      </c>
      <c r="C26" t="s">
        <v>16</v>
      </c>
      <c r="D26" t="s">
        <v>16</v>
      </c>
      <c r="E26" t="s">
        <v>42</v>
      </c>
      <c r="F26" t="s">
        <v>42</v>
      </c>
      <c r="G26" t="s">
        <v>20</v>
      </c>
      <c r="H26" t="s">
        <v>20</v>
      </c>
      <c r="I26" t="s">
        <v>21</v>
      </c>
      <c r="J26" s="2">
        <v>7797</v>
      </c>
      <c r="K26">
        <f>IF(AND(C26&lt;&gt;"",D26&lt;&gt;""),--(C26=D26),"")</f>
        <v>1</v>
      </c>
      <c r="L26">
        <f>IF(E26="",1,IF(F26&lt;&gt;"",--(E26=F26),""))</f>
        <v>1</v>
      </c>
      <c r="M26">
        <f>IF(AND(G26&lt;&gt;"",H26&lt;&gt;""),--(G26=H26),"")</f>
        <v>1</v>
      </c>
      <c r="N26" t="e">
        <f>IF(I26="No aplica",1,IF(I26="No",--(#REF!=""),IF(I26="Sí, mismo evento actualizado",--(#REF!&lt;&gt;""),IF(I26="Sí, se elimina/cancela",--(#REF!&lt;&gt;""),IF(I26="Sí",--(#REF!&lt;&gt;""),"")))))</f>
        <v>#REF!</v>
      </c>
      <c r="O26" t="e">
        <f t="shared" si="0"/>
        <v>#REF!</v>
      </c>
    </row>
    <row r="27" spans="1:15">
      <c r="A27" t="s">
        <v>179</v>
      </c>
      <c r="B27" t="s">
        <v>186</v>
      </c>
      <c r="C27" t="s">
        <v>16</v>
      </c>
      <c r="D27" t="s">
        <v>16</v>
      </c>
      <c r="E27" t="s">
        <v>17</v>
      </c>
      <c r="F27" t="s">
        <v>17</v>
      </c>
      <c r="G27" t="s">
        <v>20</v>
      </c>
      <c r="H27" t="s">
        <v>20</v>
      </c>
      <c r="I27" t="s">
        <v>21</v>
      </c>
      <c r="J27" s="2">
        <v>7711</v>
      </c>
      <c r="K27">
        <f>IF(AND(C27&lt;&gt;"",D27&lt;&gt;""),--(C27=D27),"")</f>
        <v>1</v>
      </c>
      <c r="L27">
        <f>IF(E27="",1,IF(F27&lt;&gt;"",--(E27=F27),""))</f>
        <v>1</v>
      </c>
      <c r="M27">
        <f>IF(AND(G27&lt;&gt;"",H27&lt;&gt;""),--(G27=H27),"")</f>
        <v>1</v>
      </c>
      <c r="N27" t="e">
        <f>IF(I27="No aplica",1,IF(I27="No",--(#REF!=""),IF(I27="Sí, mismo evento actualizado",--(#REF!&lt;&gt;""),IF(I27="Sí, se elimina/cancela",--(#REF!&lt;&gt;""),IF(I27="Sí",--(#REF!&lt;&gt;""),"")))))</f>
        <v>#REF!</v>
      </c>
      <c r="O27" t="e">
        <f t="shared" si="0"/>
        <v>#REF!</v>
      </c>
    </row>
    <row r="28" spans="1:15">
      <c r="A28" t="s">
        <v>184</v>
      </c>
      <c r="B28" t="s">
        <v>193</v>
      </c>
      <c r="C28" t="s">
        <v>148</v>
      </c>
      <c r="D28" t="s">
        <v>148</v>
      </c>
      <c r="G28" t="s">
        <v>149</v>
      </c>
      <c r="H28" t="s">
        <v>149</v>
      </c>
      <c r="I28" t="s">
        <v>21</v>
      </c>
      <c r="J28" s="2">
        <v>7682</v>
      </c>
      <c r="K28">
        <f>IF(AND(C28&lt;&gt;"",D28&lt;&gt;""),--(C28=D28),"")</f>
        <v>1</v>
      </c>
      <c r="L28">
        <f>IF(E28="",1,IF(F28&lt;&gt;"",--(E28=F28),""))</f>
        <v>1</v>
      </c>
      <c r="M28">
        <f>IF(AND(G28&lt;&gt;"",H28&lt;&gt;""),--(G28=H28),"")</f>
        <v>1</v>
      </c>
      <c r="N28" t="e">
        <f>IF(I28="No aplica",1,IF(I28="No",--(#REF!=""),IF(I28="Sí, mismo evento actualizado",--(#REF!&lt;&gt;""),IF(I28="Sí, se elimina/cancela",--(#REF!&lt;&gt;""),IF(I28="Sí",--(#REF!&lt;&gt;""),"")))))</f>
        <v>#REF!</v>
      </c>
      <c r="O28" t="e">
        <f t="shared" si="0"/>
        <v>#REF!</v>
      </c>
    </row>
    <row r="29" spans="1:15">
      <c r="A29" t="s">
        <v>190</v>
      </c>
      <c r="B29" t="s">
        <v>199</v>
      </c>
      <c r="C29" t="s">
        <v>133</v>
      </c>
      <c r="D29" t="s">
        <v>133</v>
      </c>
      <c r="G29" t="s">
        <v>134</v>
      </c>
      <c r="H29" t="s">
        <v>134</v>
      </c>
      <c r="I29" t="s">
        <v>21</v>
      </c>
      <c r="J29" s="2">
        <v>6286</v>
      </c>
      <c r="K29">
        <f>IF(AND(C29&lt;&gt;"",D29&lt;&gt;""),--(C29=D29),"")</f>
        <v>1</v>
      </c>
      <c r="L29">
        <f>IF(E29="",1,IF(F29&lt;&gt;"",--(E29=F29),""))</f>
        <v>1</v>
      </c>
      <c r="M29">
        <f>IF(AND(G29&lt;&gt;"",H29&lt;&gt;""),--(G29=H29),"")</f>
        <v>1</v>
      </c>
      <c r="N29" t="e">
        <f>IF(I29="No aplica",1,IF(I29="No",--(#REF!=""),IF(I29="Sí, mismo evento actualizado",--(#REF!&lt;&gt;""),IF(I29="Sí, se elimina/cancela",--(#REF!&lt;&gt;""),IF(I29="Sí",--(#REF!&lt;&gt;""),"")))))</f>
        <v>#REF!</v>
      </c>
      <c r="O29" t="e">
        <f t="shared" si="0"/>
        <v>#REF!</v>
      </c>
    </row>
    <row r="30" spans="1:15">
      <c r="A30" t="s">
        <v>197</v>
      </c>
      <c r="B30" t="s">
        <v>204</v>
      </c>
      <c r="C30" t="s">
        <v>116</v>
      </c>
      <c r="D30" t="s">
        <v>116</v>
      </c>
      <c r="G30" t="s">
        <v>116</v>
      </c>
      <c r="H30" t="s">
        <v>116</v>
      </c>
      <c r="I30" t="s">
        <v>88</v>
      </c>
      <c r="J30" s="2">
        <v>2628</v>
      </c>
      <c r="K30">
        <f>IF(AND(C30&lt;&gt;"",D30&lt;&gt;""),--(C30=D30),"")</f>
        <v>1</v>
      </c>
      <c r="L30">
        <f>IF(E30="",1,IF(F30&lt;&gt;"",--(E30=F30),""))</f>
        <v>1</v>
      </c>
      <c r="M30">
        <f>IF(AND(G30&lt;&gt;"",H30&lt;&gt;""),--(G30=H30),"")</f>
        <v>1</v>
      </c>
      <c r="N30">
        <f>IF(I30="No aplica",1,IF(I30="No",--(#REF!=""),IF(I30="Sí, mismo evento actualizado",--(#REF!&lt;&gt;""),IF(I30="Sí, se elimina/cancela",--(#REF!&lt;&gt;""),IF(I30="Sí",--(#REF!&lt;&gt;""),"")))))</f>
        <v>1</v>
      </c>
      <c r="O30">
        <f t="shared" si="0"/>
        <v>1</v>
      </c>
    </row>
    <row r="31" spans="1:15">
      <c r="A31" t="s">
        <v>202</v>
      </c>
      <c r="B31" t="s">
        <v>210</v>
      </c>
      <c r="C31" t="s">
        <v>16</v>
      </c>
      <c r="D31" t="s">
        <v>16</v>
      </c>
      <c r="E31" t="s">
        <v>17</v>
      </c>
      <c r="F31" t="s">
        <v>17</v>
      </c>
      <c r="G31" t="s">
        <v>20</v>
      </c>
      <c r="H31" t="s">
        <v>20</v>
      </c>
      <c r="I31" t="s">
        <v>21</v>
      </c>
      <c r="J31" s="2">
        <v>8805</v>
      </c>
      <c r="K31">
        <f>IF(AND(C31&lt;&gt;"",D31&lt;&gt;""),--(C31=D31),"")</f>
        <v>1</v>
      </c>
      <c r="L31">
        <f>IF(E31="",1,IF(F31&lt;&gt;"",--(E31=F31),""))</f>
        <v>1</v>
      </c>
      <c r="M31">
        <f>IF(AND(G31&lt;&gt;"",H31&lt;&gt;""),--(G31=H31),"")</f>
        <v>1</v>
      </c>
      <c r="N31" t="e">
        <f>IF(I31="No aplica",1,IF(I31="No",--(#REF!=""),IF(I31="Sí, mismo evento actualizado",--(#REF!&lt;&gt;""),IF(I31="Sí, se elimina/cancela",--(#REF!&lt;&gt;""),IF(I31="Sí",--(#REF!&lt;&gt;""),"")))))</f>
        <v>#REF!</v>
      </c>
      <c r="O31" t="e">
        <f t="shared" si="0"/>
        <v>#REF!</v>
      </c>
    </row>
    <row r="32" spans="1:15">
      <c r="A32" t="s">
        <v>207</v>
      </c>
      <c r="B32" t="s">
        <v>215</v>
      </c>
      <c r="C32" t="s">
        <v>16</v>
      </c>
      <c r="D32" t="s">
        <v>16</v>
      </c>
      <c r="E32" t="s">
        <v>216</v>
      </c>
      <c r="F32" t="s">
        <v>216</v>
      </c>
      <c r="G32" t="s">
        <v>20</v>
      </c>
      <c r="H32" t="s">
        <v>20</v>
      </c>
      <c r="I32" t="s">
        <v>21</v>
      </c>
      <c r="J32" s="2">
        <v>8485</v>
      </c>
      <c r="K32">
        <f>IF(AND(C32&lt;&gt;"",D32&lt;&gt;""),--(C32=D32),"")</f>
        <v>1</v>
      </c>
      <c r="L32">
        <f>IF(E32="",1,IF(F32&lt;&gt;"",--(E32=F32),""))</f>
        <v>1</v>
      </c>
      <c r="M32">
        <f>IF(AND(G32&lt;&gt;"",H32&lt;&gt;""),--(G32=H32),"")</f>
        <v>1</v>
      </c>
      <c r="N32" t="e">
        <f>IF(I32="No aplica",1,IF(I32="No",--(#REF!=""),IF(I32="Sí, mismo evento actualizado",--(#REF!&lt;&gt;""),IF(I32="Sí, se elimina/cancela",--(#REF!&lt;&gt;""),IF(I32="Sí",--(#REF!&lt;&gt;""),"")))))</f>
        <v>#REF!</v>
      </c>
      <c r="O32" t="e">
        <f t="shared" si="0"/>
        <v>#REF!</v>
      </c>
    </row>
    <row r="33" spans="1:15">
      <c r="A33" t="s">
        <v>213</v>
      </c>
      <c r="B33" t="s">
        <v>222</v>
      </c>
      <c r="C33" t="s">
        <v>16</v>
      </c>
      <c r="D33" t="s">
        <v>16</v>
      </c>
      <c r="E33" t="s">
        <v>223</v>
      </c>
      <c r="F33" t="s">
        <v>223</v>
      </c>
      <c r="G33" t="s">
        <v>20</v>
      </c>
      <c r="H33" t="s">
        <v>20</v>
      </c>
      <c r="I33" t="s">
        <v>21</v>
      </c>
      <c r="J33" s="2">
        <v>8342</v>
      </c>
      <c r="K33">
        <f>IF(AND(C33&lt;&gt;"",D33&lt;&gt;""),--(C33=D33),"")</f>
        <v>1</v>
      </c>
      <c r="L33">
        <f>IF(E33="",1,IF(F33&lt;&gt;"",--(E33=F33),""))</f>
        <v>1</v>
      </c>
      <c r="M33">
        <f>IF(AND(G33&lt;&gt;"",H33&lt;&gt;""),--(G33=H33),"")</f>
        <v>1</v>
      </c>
      <c r="N33" t="e">
        <f>IF(I33="No aplica",1,IF(I33="No",--(#REF!=""),IF(I33="Sí, mismo evento actualizado",--(#REF!&lt;&gt;""),IF(I33="Sí, se elimina/cancela",--(#REF!&lt;&gt;""),IF(I33="Sí",--(#REF!&lt;&gt;""),"")))))</f>
        <v>#REF!</v>
      </c>
      <c r="O33" t="e">
        <f t="shared" ref="O33:O35" si="1">IF(COUNT(K33:N33)=0,"",--(SUM(K33:N33)=COUNT(K33:N33)))</f>
        <v>#REF!</v>
      </c>
    </row>
    <row r="34" spans="1:15">
      <c r="A34" t="s">
        <v>220</v>
      </c>
      <c r="B34" t="s">
        <v>228</v>
      </c>
      <c r="C34" t="s">
        <v>16</v>
      </c>
      <c r="D34" t="s">
        <v>16</v>
      </c>
      <c r="E34" t="s">
        <v>42</v>
      </c>
      <c r="F34" t="s">
        <v>42</v>
      </c>
      <c r="G34" t="s">
        <v>20</v>
      </c>
      <c r="H34" t="s">
        <v>20</v>
      </c>
      <c r="I34" t="s">
        <v>21</v>
      </c>
      <c r="J34" s="2">
        <v>10086</v>
      </c>
      <c r="K34">
        <f>IF(AND(C34&lt;&gt;"",D34&lt;&gt;""),--(C34=D34),"")</f>
        <v>1</v>
      </c>
      <c r="L34">
        <f>IF(E34="",1,IF(F34&lt;&gt;"",--(E34=F34),""))</f>
        <v>1</v>
      </c>
      <c r="M34">
        <f>IF(AND(G34&lt;&gt;"",H34&lt;&gt;""),--(G34=H34),"")</f>
        <v>1</v>
      </c>
      <c r="N34" t="e">
        <f>IF(I34="No aplica",1,IF(I34="No",--(#REF!=""),IF(I34="Sí, mismo evento actualizado",--(#REF!&lt;&gt;""),IF(I34="Sí, se elimina/cancela",--(#REF!&lt;&gt;""),IF(I34="Sí",--(#REF!&lt;&gt;""),"")))))</f>
        <v>#REF!</v>
      </c>
      <c r="O34" t="e">
        <f t="shared" si="1"/>
        <v>#REF!</v>
      </c>
    </row>
    <row r="35" spans="1:15">
      <c r="A35" t="s">
        <v>226</v>
      </c>
      <c r="B35" t="s">
        <v>232</v>
      </c>
      <c r="C35" t="s">
        <v>16</v>
      </c>
      <c r="D35" t="s">
        <v>16</v>
      </c>
      <c r="E35" t="s">
        <v>54</v>
      </c>
      <c r="F35" t="s">
        <v>54</v>
      </c>
      <c r="G35" t="s">
        <v>20</v>
      </c>
      <c r="H35" t="s">
        <v>20</v>
      </c>
      <c r="I35" t="s">
        <v>21</v>
      </c>
      <c r="J35" s="2">
        <v>9139</v>
      </c>
      <c r="K35">
        <f>IF(AND(C35&lt;&gt;"",D35&lt;&gt;""),--(C35=D35),"")</f>
        <v>1</v>
      </c>
      <c r="L35">
        <f>IF(E35="",1,IF(F35&lt;&gt;"",--(E35=F35),""))</f>
        <v>1</v>
      </c>
      <c r="M35">
        <f>IF(AND(G35&lt;&gt;"",H35&lt;&gt;""),--(G35=H35),"")</f>
        <v>1</v>
      </c>
      <c r="N35" t="e">
        <f>IF(I35="No aplica",1,IF(I35="No",--(#REF!=""),IF(I35="Sí, mismo evento actualizado",--(#REF!&lt;&gt;""),IF(I35="Sí, se elimina/cancela",--(#REF!&lt;&gt;""),IF(I35="Sí",--(#REF!&lt;&gt;""),"")))))</f>
        <v>#REF!</v>
      </c>
      <c r="O35" t="e">
        <f t="shared" si="1"/>
        <v>#REF!</v>
      </c>
    </row>
  </sheetData>
  <phoneticPr fontId="2" type="noConversion"/>
  <conditionalFormatting sqref="J2:J36">
    <cfRule type="dataBar" priority="7">
      <dataBar>
        <cfvo type="min"/>
        <cfvo type="max"/>
        <color rgb="FF60A5FA"/>
      </dataBar>
    </cfRule>
    <cfRule type="dataBar" priority="8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{5FE5F7B9-A804-0408-ADAF-89934E9F0A2A}</x14:id>
        </ext>
      </extLst>
    </cfRule>
  </conditionalFormatting>
  <dataValidations count="2">
    <dataValidation type="list" sqref="D2:D36" xr:uid="{00000000-0002-0000-0200-000001000000}">
      <formula1>"reservar,precios,horarios,cancelar,cambiar_hora,desconocido"</formula1>
    </dataValidation>
    <dataValidation type="list" sqref="H2:H36" xr:uid="{00000000-0002-0000-0200-000002000000}">
      <formula1>"creada,no_creada_horario_ocupado,datos_incompletos,consulta_precios,consulta_horarios,desconocido,cancelada,no_existe_cita,cambiada,datos_incompletos_cambio,no_cambiada_horario_ocupado,error"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E5F7B9-A804-0408-ADAF-89934E9F0A2A}">
            <x14:dataBar>
              <x14:cfvo type="min"/>
              <x14:cfvo type="max"/>
              <x14:negativeFillColor auto="1"/>
              <x14:axisColor auto="1"/>
            </x14:dataBar>
          </x14:cfRule>
          <xm:sqref>J2:J36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topLeftCell="A3" workbookViewId="0">
      <selection activeCell="B21" sqref="B21"/>
    </sheetView>
  </sheetViews>
  <sheetFormatPr defaultRowHeight="14.25"/>
  <cols>
    <col min="1" max="1" width="32" customWidth="1"/>
    <col min="2" max="2" width="24" customWidth="1"/>
  </cols>
  <sheetData>
    <row r="1" spans="1:26" ht="15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246</v>
      </c>
      <c r="B2">
        <f>COUNTA(Casos_Prueba!A2:A35)</f>
        <v>34</v>
      </c>
    </row>
    <row r="3" spans="1:26">
      <c r="A3" t="s">
        <v>247</v>
      </c>
      <c r="B3">
        <f>COUNT(Registro_Ejecucion!J2:J36)</f>
        <v>34</v>
      </c>
    </row>
    <row r="4" spans="1:26">
      <c r="A4" t="s">
        <v>248</v>
      </c>
      <c r="B4" s="2">
        <f>IFERROR(AVERAGE(Registro_Ejecucion!J2:J36),"")</f>
        <v>5682.7647058823532</v>
      </c>
    </row>
    <row r="5" spans="1:26">
      <c r="A5" t="s">
        <v>249</v>
      </c>
      <c r="B5" s="2">
        <f>IFERROR(MIN(Registro_Ejecucion!J2:J36),"")</f>
        <v>1280</v>
      </c>
    </row>
    <row r="6" spans="1:26">
      <c r="A6" t="s">
        <v>250</v>
      </c>
      <c r="B6" s="2">
        <f>IFERROR(MAX(Registro_Ejecucion!J2:J36),"")</f>
        <v>16180</v>
      </c>
    </row>
    <row r="7" spans="1:26">
      <c r="A7" t="s">
        <v>251</v>
      </c>
      <c r="B7" s="3">
        <f>IFERROR(SUM(Registro_Ejecucion!K2:K36)/COUNT(Registro_Ejecucion!K2:K36),"")</f>
        <v>1</v>
      </c>
    </row>
    <row r="8" spans="1:26">
      <c r="A8" t="s">
        <v>252</v>
      </c>
      <c r="B8" s="3">
        <f>IFERROR(SUM(Registro_Ejecucion!L2:L36)/COUNT(Registro_Ejecucion!L2:L36),"")</f>
        <v>1</v>
      </c>
    </row>
    <row r="9" spans="1:26">
      <c r="A9" t="s">
        <v>253</v>
      </c>
      <c r="B9" s="3">
        <f>IFERROR(SUM(Registro_Ejecucion!M2:M36)/COUNT(Registro_Ejecucion!M2:M36),"")</f>
        <v>1</v>
      </c>
    </row>
    <row r="10" spans="1:26">
      <c r="A10" t="s">
        <v>254</v>
      </c>
      <c r="B10" s="3" t="str">
        <f>IFERROR(SUM(Registro_Ejecucion!N2:N36)/COUNT(Registro_Ejecucion!N2:N36),"")</f>
        <v/>
      </c>
    </row>
    <row r="11" spans="1:26">
      <c r="A11" t="s">
        <v>255</v>
      </c>
      <c r="B11" s="3" t="str">
        <f>IFERROR(SUM(Registro_Ejecucion!O2:O36)/COUNT(Registro_Ejecucion!O2:O36),"")</f>
        <v/>
      </c>
    </row>
    <row r="13" spans="1:26">
      <c r="A13" t="s">
        <v>256</v>
      </c>
    </row>
    <row r="14" spans="1:26">
      <c r="A14" t="s">
        <v>20</v>
      </c>
      <c r="B14">
        <f>COUNTIF(Registro_Ejecucion!H2:H36,"creada")</f>
        <v>14</v>
      </c>
    </row>
    <row r="15" spans="1:26">
      <c r="A15" t="s">
        <v>27</v>
      </c>
      <c r="B15">
        <f>COUNTIF(Registro_Ejecucion!H2:H36,"no_creada_horario_ocupado")</f>
        <v>1</v>
      </c>
    </row>
    <row r="16" spans="1:26">
      <c r="A16" t="s">
        <v>36</v>
      </c>
      <c r="B16">
        <f>COUNTIF(Registro_Ejecucion!H2:H36,"datos_incompletos")</f>
        <v>3</v>
      </c>
    </row>
    <row r="17" spans="1:2">
      <c r="A17" t="s">
        <v>87</v>
      </c>
      <c r="B17">
        <f>COUNTIF(Registro_Ejecucion!H2:H36,"consulta_precios")</f>
        <v>3</v>
      </c>
    </row>
    <row r="18" spans="1:2">
      <c r="A18" t="s">
        <v>105</v>
      </c>
      <c r="B18">
        <f>COUNTIF(Registro_Ejecucion!H2:H36,"consulta_horarios")</f>
        <v>2</v>
      </c>
    </row>
    <row r="19" spans="1:2">
      <c r="A19" t="s">
        <v>134</v>
      </c>
      <c r="B19">
        <f>COUNTIF(Registro_Ejecucion!H2:H36,"cancelada")</f>
        <v>2</v>
      </c>
    </row>
    <row r="20" spans="1:2">
      <c r="A20" t="s">
        <v>149</v>
      </c>
      <c r="B20">
        <f>COUNTIF(Registro_Ejecucion!H2:H36,"cambiada")</f>
        <v>2</v>
      </c>
    </row>
    <row r="21" spans="1:2">
      <c r="A21" t="s">
        <v>116</v>
      </c>
      <c r="B21">
        <f>COUNTIF(Registro_Ejecucion!H2:H36,"desconocido")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Casos_Prueba</vt:lpstr>
      <vt:lpstr>Registro_Ejecucion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Villada Arias</dc:creator>
  <cp:lastModifiedBy>Sergio Alejandro Villada Arias</cp:lastModifiedBy>
  <dcterms:modified xsi:type="dcterms:W3CDTF">2026-06-08T15:10:10Z</dcterms:modified>
</cp:coreProperties>
</file>